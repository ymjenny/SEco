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56c111d207c939/바탕 화면/문서/바탕 화면/데이터대회/"/>
    </mc:Choice>
  </mc:AlternateContent>
  <xr:revisionPtr revIDLastSave="19" documentId="8_{640FEF3D-BDA0-4C22-95BB-0BB03EEB35C9}" xr6:coauthVersionLast="47" xr6:coauthVersionMax="47" xr10:uidLastSave="{903E8718-8C82-4CCA-9099-C9D48F72268D}"/>
  <bookViews>
    <workbookView xWindow="11370" yWindow="1220" windowWidth="12310" windowHeight="13480" xr2:uid="{DED1CD76-50C7-471D-90C6-EB01D5349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2" i="1"/>
</calcChain>
</file>

<file path=xl/sharedStrings.xml><?xml version="1.0" encoding="utf-8"?>
<sst xmlns="http://schemas.openxmlformats.org/spreadsheetml/2006/main" count="507" uniqueCount="273">
  <si>
    <t>KEY</t>
  </si>
  <si>
    <t>공연명</t>
  </si>
  <si>
    <t>공연장</t>
  </si>
  <si>
    <t>SVI_lite</t>
  </si>
  <si>
    <t>HLI_lite</t>
  </si>
  <si>
    <t>AQHI_month</t>
  </si>
  <si>
    <t>CVI(crowd-vibration index)</t>
  </si>
  <si>
    <t>1. 2.~1. 7.</t>
  </si>
  <si>
    <t>2019 에이핑크 단독 콘서트</t>
  </si>
  <si>
    <t>핸드볼경기장</t>
  </si>
  <si>
    <t>1.2~1.7</t>
  </si>
  <si>
    <t>2019 위너, 아이콘 콘서트</t>
  </si>
  <si>
    <t>KSPO DOME</t>
  </si>
  <si>
    <t>1.9~1.14</t>
  </si>
  <si>
    <t>2019 god 콘서트</t>
  </si>
  <si>
    <t>1.21~1.28</t>
  </si>
  <si>
    <t>NCT127 첫 번째 콘서트</t>
  </si>
  <si>
    <t>1. 16.~1. 21.</t>
  </si>
  <si>
    <t>2019 넬(NELL)X 젝스키스(SECHSKIES)</t>
  </si>
  <si>
    <t>1. 1.~1. 6.</t>
  </si>
  <si>
    <t>최현우 명작 콘서트</t>
  </si>
  <si>
    <t>우리금융아트홀</t>
  </si>
  <si>
    <t>1. 4.~1. 5.</t>
  </si>
  <si>
    <t>B1A4 팬미팅</t>
  </si>
  <si>
    <t>올림픽홀</t>
  </si>
  <si>
    <t>1. 10.~1. 13.</t>
  </si>
  <si>
    <t>소란 콘서트</t>
  </si>
  <si>
    <t>1. 20.~1. 22.</t>
  </si>
  <si>
    <t>세븐틴 쇼케이스</t>
  </si>
  <si>
    <t>1. 25.~1. 28.</t>
  </si>
  <si>
    <t>더보이즈 콘서트</t>
  </si>
  <si>
    <t>2.18~2.24</t>
  </si>
  <si>
    <t>2019 슈퍼스타 갈라 콘서트</t>
  </si>
  <si>
    <t>2.25~3.3</t>
  </si>
  <si>
    <t>슈퍼주니어 콘서트</t>
  </si>
  <si>
    <t>2. 11.~2. 18.</t>
  </si>
  <si>
    <t>2019 승리 콘서트</t>
  </si>
  <si>
    <t>1. 30.~2. 3.</t>
  </si>
  <si>
    <t>용준형 솔로 콘서트</t>
  </si>
  <si>
    <t>2. 9.~2. 10.</t>
  </si>
  <si>
    <t>여자친구 팬미팅</t>
  </si>
  <si>
    <t>2. 14.~2. 17.</t>
  </si>
  <si>
    <t>이달의소녀 콘서트</t>
  </si>
  <si>
    <t>2. 21.~2. 24.</t>
  </si>
  <si>
    <t>언더나인틴 콘서트 &amp; 펜타곤 팬미팅</t>
  </si>
  <si>
    <t>3.4~3.11</t>
  </si>
  <si>
    <t>동방신기 콘서트</t>
  </si>
  <si>
    <t>3.14~3.18</t>
  </si>
  <si>
    <t>LA필하모닉/존윌리엄스 영화음악 콘서트</t>
  </si>
  <si>
    <t>3. 6.~3. 10.</t>
  </si>
  <si>
    <t>2019 하성운 팬미팅</t>
  </si>
  <si>
    <t>3. 11.~3. 18.</t>
  </si>
  <si>
    <t>대만 2회째 콘서트</t>
  </si>
  <si>
    <t>3. 1.~3. 3.</t>
  </si>
  <si>
    <t>아스트로 팬미팅</t>
  </si>
  <si>
    <t>3. 20.~3. 25.</t>
  </si>
  <si>
    <t>준호 솔로 콘서트</t>
  </si>
  <si>
    <t>3. 28.~3. 31.</t>
  </si>
  <si>
    <t>불타는 청춘 콘서트</t>
  </si>
  <si>
    <t>4.7~4.14</t>
  </si>
  <si>
    <t>2019 뉴이스트 단독 콘서트</t>
  </si>
  <si>
    <t>4.15~4.22</t>
  </si>
  <si>
    <t>2019 신화 콘서트</t>
  </si>
  <si>
    <t>4.24~4.28</t>
  </si>
  <si>
    <t>제시제이·트로이 시반 내한공연</t>
  </si>
  <si>
    <t>3. 26.~4. 1.</t>
  </si>
  <si>
    <t>DAY6 '1ST WORLD TOUR 'YOUTH' FINALE 콘서트</t>
  </si>
  <si>
    <t>4. 9.~4. 15.</t>
  </si>
  <si>
    <t>몬스타엑스 2019 월드투어</t>
  </si>
  <si>
    <t>1. 14.~4. 1.</t>
  </si>
  <si>
    <t>뮤지컬 잭더리퍼</t>
  </si>
  <si>
    <t>4. 20.</t>
  </si>
  <si>
    <t>유성찬 콘서트</t>
  </si>
  <si>
    <t>4. 5.~4. 6.</t>
  </si>
  <si>
    <t>라이관린 팬미팅</t>
  </si>
  <si>
    <t>4. 8.~4. 15.</t>
  </si>
  <si>
    <t>슈퍼주니어 D&amp;E 콘서트</t>
  </si>
  <si>
    <t>4. 18.~4. 20.</t>
  </si>
  <si>
    <t>스트레이키즈 팬미팅</t>
  </si>
  <si>
    <t>4. 21.</t>
  </si>
  <si>
    <t>정영진, 최욱의 마블쇼</t>
  </si>
  <si>
    <t>4. 25.~4. 26.</t>
  </si>
  <si>
    <t>크라프트베르크 내한공연</t>
  </si>
  <si>
    <t>4. 27.~4. 29.</t>
  </si>
  <si>
    <t>이준기 팬 콘서트</t>
  </si>
  <si>
    <t>5.2~5.6</t>
  </si>
  <si>
    <t>2019 미스트롯 효 콘서트</t>
  </si>
  <si>
    <t>5.7~5.13</t>
  </si>
  <si>
    <t>뷰티풀 민트 라이프 2019</t>
  </si>
  <si>
    <t>5.14~5.20</t>
  </si>
  <si>
    <t>2019 나훈아 콘서트</t>
  </si>
  <si>
    <t>5.21~5.27</t>
  </si>
  <si>
    <t>2019 TWICE 단독 콘서트</t>
  </si>
  <si>
    <t>5. 15.~5. 20.</t>
  </si>
  <si>
    <t>2019 여자친구 콘서트</t>
  </si>
  <si>
    <t>5. 21.~5. 27.</t>
  </si>
  <si>
    <t>제13회 서울재즈페스티벌 2019</t>
  </si>
  <si>
    <t>4. 22.~5. 19.</t>
  </si>
  <si>
    <t>뮤지컬 헤드윅</t>
  </si>
  <si>
    <t>5. 23.~5. 26.</t>
  </si>
  <si>
    <t>제13회 서울재즈페스티벌</t>
  </si>
  <si>
    <t>5. 1.~5. 6.</t>
  </si>
  <si>
    <t>캐리TV러브콘서트 2019</t>
  </si>
  <si>
    <t>5. 10.~5. 11.</t>
  </si>
  <si>
    <t>2019 신유 콘서트</t>
  </si>
  <si>
    <t>5. 12.</t>
  </si>
  <si>
    <t>어나더레벨 콘서트</t>
  </si>
  <si>
    <t>5. 14.~5. 17.</t>
  </si>
  <si>
    <t>마크마텔 내한공연</t>
  </si>
  <si>
    <t>5. 18.~5. 20.</t>
  </si>
  <si>
    <t>노엘갤러거 내한공연</t>
  </si>
  <si>
    <t>5. 21.~5. 22.</t>
  </si>
  <si>
    <t>AB6X 쇼케이스</t>
  </si>
  <si>
    <t>5. 23.~5. 27.</t>
  </si>
  <si>
    <t>서울재즈페스티벌</t>
  </si>
  <si>
    <t>5. 30.~5. 31.</t>
  </si>
  <si>
    <t>톰 미쉬 내한공연</t>
  </si>
  <si>
    <t>5.28~6.9</t>
  </si>
  <si>
    <t>2019 올댓스케이트</t>
  </si>
  <si>
    <t>6.10~6.16</t>
  </si>
  <si>
    <t>2019 GOT7 단독 콘서트</t>
  </si>
  <si>
    <t>6.17~6.23</t>
  </si>
  <si>
    <t>2019 방탄소년단 팬미팅</t>
  </si>
  <si>
    <t>5. 30.~6. 2.</t>
  </si>
  <si>
    <t>제1회뮤직페스티벌 2019</t>
  </si>
  <si>
    <t>6. 10.~6. 17.</t>
  </si>
  <si>
    <t>2019 피크뮤직페스티벌</t>
  </si>
  <si>
    <t>6. 1.</t>
  </si>
  <si>
    <t>2019 '만인9,900원의 행복' 이현우 콘서트-서울</t>
  </si>
  <si>
    <t>6. 28.~6. 29.</t>
  </si>
  <si>
    <t>2018~19 '만9,900원의 행복' 서영은 &lt;새로운 시작&gt; 콘서트-서울</t>
  </si>
  <si>
    <t>6. 1.~6. 2.</t>
  </si>
  <si>
    <t>장우혁 팬미팅</t>
  </si>
  <si>
    <t>6. 12.~6. 16.</t>
  </si>
  <si>
    <t>거미 콘서트</t>
  </si>
  <si>
    <t>6. 20.~6. 23.</t>
  </si>
  <si>
    <t>정승환 콘서트</t>
  </si>
  <si>
    <t>6. 26.~6. 27.</t>
  </si>
  <si>
    <t>THE STATION 콘서트</t>
  </si>
  <si>
    <t>6.24~7.14</t>
  </si>
  <si>
    <t>2019 박효신 20주년 콘서트</t>
  </si>
  <si>
    <t>7.15~7.28</t>
  </si>
  <si>
    <t>EXO 5번째 콘서트</t>
  </si>
  <si>
    <t>7. 22.~7. 25.</t>
  </si>
  <si>
    <t>CIX 데뷔 쇼케이스</t>
  </si>
  <si>
    <t>7. 3.~7. 8.</t>
  </si>
  <si>
    <t>박재범 콘서트</t>
  </si>
  <si>
    <t>7. 11.~7. 15.</t>
  </si>
  <si>
    <t>어반자카파 콘서트</t>
  </si>
  <si>
    <t>7. 19.~7. 22.</t>
  </si>
  <si>
    <t>양다일&amp;프레스엠 콘서트</t>
  </si>
  <si>
    <t>7. 26.~7. 27.</t>
  </si>
  <si>
    <t>레드벨벳 팬미팅</t>
  </si>
  <si>
    <t>7. 28.~7. 29.</t>
  </si>
  <si>
    <t>톰 요크 내한공연</t>
  </si>
  <si>
    <t>7.29~8.5</t>
  </si>
  <si>
    <t>2019 M2 X genie music awards &amp; 2019 KB 리브콘서트</t>
  </si>
  <si>
    <t>8.6~8.12</t>
  </si>
  <si>
    <t>2019 롯데면세점 패밀리콘서트</t>
  </si>
  <si>
    <t>8.13~8.25</t>
  </si>
  <si>
    <t>2019 K-WORLD FESTA</t>
  </si>
  <si>
    <t>8. 6.~8. 12.</t>
  </si>
  <si>
    <t>2019 지코 단독콘서트</t>
  </si>
  <si>
    <t>8. 13.~8. 25.</t>
  </si>
  <si>
    <t>7. 8.~8. 26.</t>
  </si>
  <si>
    <t>뮤지컬 &lt;전차부 정비사 하노의 극 공장: 새로운 낙원&gt;</t>
  </si>
  <si>
    <t>7. 30.~8. 5.</t>
  </si>
  <si>
    <t>러블리즈 콘서트</t>
  </si>
  <si>
    <t>8. 7.~8. 8.</t>
  </si>
  <si>
    <t>레이니 내한공연</t>
  </si>
  <si>
    <t>8. 9.~8. 11.</t>
  </si>
  <si>
    <t>SF9 라이브 판타지아</t>
  </si>
  <si>
    <t>8. 12.~8. 25.</t>
  </si>
  <si>
    <t>2019 케이월드페스티벌</t>
  </si>
  <si>
    <t>8.26~9.2</t>
  </si>
  <si>
    <t>2019 세븐틴 콘서트</t>
  </si>
  <si>
    <t>9.4~9.6</t>
  </si>
  <si>
    <t>체인스모커스 내한공연</t>
  </si>
  <si>
    <t>9.7~9.9</t>
  </si>
  <si>
    <t>제10회 크레디아 파크콘서트</t>
  </si>
  <si>
    <t>9.21~9.22</t>
  </si>
  <si>
    <t>2019 조이올팍 페스티벌</t>
  </si>
  <si>
    <t>9.23~9.30</t>
  </si>
  <si>
    <t>2019 션멘데스 &amp; 한스짐머 내한공연</t>
  </si>
  <si>
    <t>9. 20.~9. 22.</t>
  </si>
  <si>
    <t>류준열 팬 미팅</t>
  </si>
  <si>
    <t>9. 2.~9. 29.</t>
  </si>
  <si>
    <t>뮤지컬 킹다이저</t>
  </si>
  <si>
    <t>8. 29.~9. 2.</t>
  </si>
  <si>
    <t>진나비 콘서트</t>
  </si>
  <si>
    <t>9. 4.~9. 6.</t>
  </si>
  <si>
    <t>THE 1975 콘서트</t>
  </si>
  <si>
    <t>9. 7.~9. 8.</t>
  </si>
  <si>
    <t>맵시 콘서트</t>
  </si>
  <si>
    <t>9. 17.~9. 22.</t>
  </si>
  <si>
    <t>블랙핑크 팬미팅</t>
  </si>
  <si>
    <t>9. 23.~9. 25.</t>
  </si>
  <si>
    <t>IBK 창업 음악회</t>
  </si>
  <si>
    <t>9. 26.~9. 29.</t>
  </si>
  <si>
    <t>윤종신 콘서트</t>
  </si>
  <si>
    <t>10.7~10.14</t>
  </si>
  <si>
    <t>슈퍼주니어 8번째 콘서트</t>
  </si>
  <si>
    <t>10.15~10.20</t>
  </si>
  <si>
    <t>그랜드민트 페스티벌 2019</t>
  </si>
  <si>
    <t>10.21~10.28</t>
  </si>
  <si>
    <t>WINNER CROSS TOUR IN SEOUL</t>
  </si>
  <si>
    <t>10. 21.~10. 27.</t>
  </si>
  <si>
    <t>보아 단독 콘서트</t>
  </si>
  <si>
    <t>11.5~11.11</t>
  </si>
  <si>
    <t>2019 AB6IX 콘서트</t>
  </si>
  <si>
    <t>11.12~11.18</t>
  </si>
  <si>
    <t>뉴이스트 팬미팅</t>
  </si>
  <si>
    <t>11.19~11.25</t>
  </si>
  <si>
    <t>2019 아이유 아시아 투어 콘서트</t>
  </si>
  <si>
    <t>11. 1.~11. 2.</t>
  </si>
  <si>
    <t>센카이노온와 내한공연</t>
  </si>
  <si>
    <t>11. 8.~11. 9.</t>
  </si>
  <si>
    <t>KBS 불후의명곡 콘서트</t>
  </si>
  <si>
    <t>11. 13.~11. 14.</t>
  </si>
  <si>
    <t>삼성서울병원 25주년 기념 콘서트</t>
  </si>
  <si>
    <t>11. 15.~11. 18.</t>
  </si>
  <si>
    <t>플라이투더스카이 20주년 기념 콘서트</t>
  </si>
  <si>
    <t>11. 19.~11. 25.</t>
  </si>
  <si>
    <t>스트레이키즈 단독 콘서트</t>
  </si>
  <si>
    <t>11.26~12.2</t>
  </si>
  <si>
    <t>2019 이승환 30주년 기념 콘서트</t>
  </si>
  <si>
    <t>12.9~12.15</t>
  </si>
  <si>
    <t>2019 나훈아 ‘청춘어게인’</t>
  </si>
  <si>
    <t>12.16~12.25</t>
  </si>
  <si>
    <t>PSY CONCERT 올나잇스탠드 2019</t>
  </si>
  <si>
    <t>12.26~12.31</t>
  </si>
  <si>
    <t>EXO 5번째 콘서트 앵콜공연</t>
  </si>
  <si>
    <t>12. 4.~12. 9.</t>
  </si>
  <si>
    <t>2019 다이나믹듀오 단독콘서트</t>
  </si>
  <si>
    <t>12. 11.~12. 15.</t>
  </si>
  <si>
    <t>BOY2 MEN CONCERT in Seoul</t>
  </si>
  <si>
    <t>12. 18.~12. 22.</t>
  </si>
  <si>
    <t>PARK JI HOON MINI CONCERT</t>
  </si>
  <si>
    <t>12. 23.~12. 25.</t>
  </si>
  <si>
    <t>LEE YONGS:N CONCERT</t>
  </si>
  <si>
    <t>12. 26.~12. 31.</t>
  </si>
  <si>
    <t>Crush Concert 2019 'hope'</t>
  </si>
  <si>
    <t>10. 13.~12. 1.</t>
  </si>
  <si>
    <t>뮤지컬 &lt;귀환&gt;</t>
  </si>
  <si>
    <t>12. 2.~12. 31.</t>
  </si>
  <si>
    <t>최현우 딜라이트BElIEVE</t>
  </si>
  <si>
    <t>11. 28.~12. 2.</t>
  </si>
  <si>
    <t>국카스텐 전국투어 콘서트</t>
  </si>
  <si>
    <t>12. 3.~12. 9.</t>
  </si>
  <si>
    <t>10cm 연말 콘서트</t>
  </si>
  <si>
    <t>정승화 연말 콘서트</t>
  </si>
  <si>
    <t>12. 16.~12. 24.</t>
  </si>
  <si>
    <t>DAY6 연말 콘서트</t>
  </si>
  <si>
    <t>12. 25.~12. 31.</t>
  </si>
  <si>
    <t>박진영 나쁜파티</t>
  </si>
  <si>
    <t>날짜</t>
  </si>
  <si>
    <t>점수</t>
  </si>
  <si>
    <t>위험단계</t>
  </si>
  <si>
    <t>아이돌/댄스/대중가요</t>
  </si>
  <si>
    <t>갈라</t>
  </si>
  <si>
    <t>뮤지컬/클래식/오케스트라</t>
  </si>
  <si>
    <t>팝/밴드/재즈</t>
  </si>
  <si>
    <t>트로트</t>
  </si>
  <si>
    <t>록/밴드/인디</t>
  </si>
  <si>
    <t>이벤트/기타</t>
  </si>
  <si>
    <t>발라드</t>
  </si>
  <si>
    <t>전자음악/힙합</t>
  </si>
  <si>
    <t>인디/어쿠스틱</t>
  </si>
  <si>
    <t>장르</t>
    <phoneticPr fontId="1" type="noConversion"/>
  </si>
  <si>
    <t>MONTH</t>
    <phoneticPr fontId="1" type="noConversion"/>
  </si>
  <si>
    <t>관람인원</t>
  </si>
  <si>
    <t>SEco</t>
    <phoneticPr fontId="1" type="noConversion"/>
  </si>
  <si>
    <t>SEco_norm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</si>
</sst>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" fontId="2" fillId="0" borderId="0" xfId="0" applyNumberFormat="1" applyFont="1">
      <alignment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3132-64A2-4067-AD66-FFAD00AB5412}">
  <dimension ref="A1:R124"/>
  <sheetViews>
    <sheetView tabSelected="1" topLeftCell="C1" zoomScale="70" zoomScaleNormal="70" workbookViewId="0">
      <selection activeCell="K4" sqref="K4"/>
    </sheetView>
  </sheetViews>
  <sheetFormatPr defaultRowHeight="17" x14ac:dyDescent="0.45"/>
  <cols>
    <col min="1" max="1" width="8.6640625" style="6"/>
    <col min="12" max="12" width="8.6640625" style="3"/>
    <col min="16" max="16" width="10.6640625" customWidth="1"/>
  </cols>
  <sheetData>
    <row r="1" spans="1:18" s="1" customFormat="1" x14ac:dyDescent="0.45">
      <c r="A1" s="5" t="s">
        <v>0</v>
      </c>
      <c r="B1" s="1" t="s">
        <v>255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271</v>
      </c>
      <c r="J1" s="1" t="s">
        <v>272</v>
      </c>
      <c r="K1" s="2" t="s">
        <v>256</v>
      </c>
      <c r="L1" s="2" t="s">
        <v>257</v>
      </c>
      <c r="M1" s="1" t="s">
        <v>268</v>
      </c>
      <c r="O1" s="1" t="s">
        <v>269</v>
      </c>
      <c r="P1" s="1" t="s">
        <v>270</v>
      </c>
    </row>
    <row r="2" spans="1:18" ht="17" customHeight="1" x14ac:dyDescent="0.45">
      <c r="A2" s="6">
        <v>43466</v>
      </c>
      <c r="B2" t="s">
        <v>7</v>
      </c>
      <c r="C2" t="s">
        <v>8</v>
      </c>
      <c r="D2" t="s">
        <v>9</v>
      </c>
      <c r="E2">
        <v>78.021026952820222</v>
      </c>
      <c r="F2">
        <v>45.011815764621602</v>
      </c>
      <c r="G2">
        <v>21.849428932358226</v>
      </c>
      <c r="H2">
        <v>68.118263596360634</v>
      </c>
      <c r="I2">
        <v>44.983846264359428</v>
      </c>
      <c r="J2">
        <v>56.882603799710942</v>
      </c>
      <c r="K2">
        <v>56.9</v>
      </c>
      <c r="L2" s="3">
        <v>3</v>
      </c>
      <c r="M2" t="s">
        <v>258</v>
      </c>
      <c r="O2">
        <f>MONTH(A2)</f>
        <v>1</v>
      </c>
      <c r="P2">
        <v>5169</v>
      </c>
      <c r="Q2" s="1"/>
      <c r="R2" s="1"/>
    </row>
    <row r="3" spans="1:18" ht="17" customHeight="1" x14ac:dyDescent="0.45">
      <c r="A3" s="6">
        <v>43466</v>
      </c>
      <c r="B3" t="s">
        <v>10</v>
      </c>
      <c r="C3" t="s">
        <v>11</v>
      </c>
      <c r="D3" t="s">
        <v>12</v>
      </c>
      <c r="E3">
        <v>83.944454869581548</v>
      </c>
      <c r="F3">
        <v>45.011815764621602</v>
      </c>
      <c r="G3">
        <v>21.849428932358226</v>
      </c>
      <c r="H3">
        <v>72.264663138093553</v>
      </c>
      <c r="I3">
        <v>47.057046035225888</v>
      </c>
      <c r="J3">
        <v>63.734678196010982</v>
      </c>
      <c r="K3">
        <v>63.7</v>
      </c>
      <c r="L3" s="3">
        <v>4</v>
      </c>
      <c r="M3" t="s">
        <v>258</v>
      </c>
      <c r="O3">
        <f t="shared" ref="O3:O66" si="0">MONTH(A3)</f>
        <v>1</v>
      </c>
      <c r="P3">
        <v>19969</v>
      </c>
      <c r="Q3" s="4"/>
      <c r="R3" s="4"/>
    </row>
    <row r="4" spans="1:18" x14ac:dyDescent="0.45">
      <c r="A4" s="6">
        <v>43466</v>
      </c>
      <c r="B4" t="s">
        <v>13</v>
      </c>
      <c r="C4" t="s">
        <v>14</v>
      </c>
      <c r="D4" t="s">
        <v>12</v>
      </c>
      <c r="E4">
        <v>82.389704793039087</v>
      </c>
      <c r="F4">
        <v>45.011815764621602</v>
      </c>
      <c r="G4">
        <v>21.849428932358226</v>
      </c>
      <c r="H4">
        <v>71.17633808451383</v>
      </c>
      <c r="I4">
        <v>46.512883508436026</v>
      </c>
      <c r="J4">
        <v>61.936181895924847</v>
      </c>
      <c r="K4">
        <v>61.9</v>
      </c>
      <c r="L4" s="3">
        <v>4</v>
      </c>
      <c r="M4" t="s">
        <v>258</v>
      </c>
      <c r="O4">
        <f t="shared" si="0"/>
        <v>1</v>
      </c>
      <c r="P4">
        <v>12098</v>
      </c>
    </row>
    <row r="5" spans="1:18" x14ac:dyDescent="0.45">
      <c r="A5" s="6">
        <v>43466</v>
      </c>
      <c r="B5" t="s">
        <v>15</v>
      </c>
      <c r="C5" t="s">
        <v>16</v>
      </c>
      <c r="D5" t="s">
        <v>12</v>
      </c>
      <c r="E5">
        <v>84.270772634344354</v>
      </c>
      <c r="F5">
        <v>45.011815764621602</v>
      </c>
      <c r="G5">
        <v>21.849428932358226</v>
      </c>
      <c r="H5">
        <v>72.493085573427521</v>
      </c>
      <c r="I5">
        <v>47.171257252892872</v>
      </c>
      <c r="J5">
        <v>64.112154487173768</v>
      </c>
      <c r="K5">
        <v>64.099999999999994</v>
      </c>
      <c r="L5" s="3">
        <v>4</v>
      </c>
      <c r="M5" t="s">
        <v>259</v>
      </c>
      <c r="O5">
        <f t="shared" si="0"/>
        <v>1</v>
      </c>
      <c r="P5">
        <v>21621</v>
      </c>
    </row>
    <row r="6" spans="1:18" x14ac:dyDescent="0.45">
      <c r="A6" s="6">
        <v>43466</v>
      </c>
      <c r="B6" t="s">
        <v>17</v>
      </c>
      <c r="C6" t="s">
        <v>18</v>
      </c>
      <c r="D6" t="s">
        <v>9</v>
      </c>
      <c r="E6">
        <v>77.987644566473421</v>
      </c>
      <c r="F6">
        <v>45.011815764621602</v>
      </c>
      <c r="G6">
        <v>21.849428932358226</v>
      </c>
      <c r="H6">
        <v>68.094895925917868</v>
      </c>
      <c r="I6">
        <v>44.972162429138045</v>
      </c>
      <c r="J6">
        <v>56.843987883726363</v>
      </c>
      <c r="K6">
        <v>56.8</v>
      </c>
      <c r="L6" s="3">
        <v>3</v>
      </c>
      <c r="M6" t="s">
        <v>258</v>
      </c>
      <c r="O6">
        <f t="shared" si="0"/>
        <v>1</v>
      </c>
      <c r="P6">
        <v>5000</v>
      </c>
    </row>
    <row r="7" spans="1:18" x14ac:dyDescent="0.45">
      <c r="A7" s="6">
        <v>43466</v>
      </c>
      <c r="B7" t="s">
        <v>19</v>
      </c>
      <c r="C7" t="s">
        <v>20</v>
      </c>
      <c r="D7" t="s">
        <v>21</v>
      </c>
      <c r="E7">
        <v>28.847596566947491</v>
      </c>
      <c r="F7">
        <v>45.011815764621602</v>
      </c>
      <c r="G7">
        <v>21.849428932358226</v>
      </c>
      <c r="H7">
        <v>33.696862326249722</v>
      </c>
      <c r="I7">
        <v>27.773145629303976</v>
      </c>
      <c r="J7">
        <v>0</v>
      </c>
      <c r="K7">
        <v>0</v>
      </c>
      <c r="L7" s="3">
        <v>1</v>
      </c>
      <c r="M7" t="s">
        <v>258</v>
      </c>
      <c r="O7">
        <f t="shared" si="0"/>
        <v>1</v>
      </c>
      <c r="P7">
        <v>4291</v>
      </c>
    </row>
    <row r="8" spans="1:18" x14ac:dyDescent="0.45">
      <c r="A8" s="6">
        <v>43466</v>
      </c>
      <c r="B8" t="s">
        <v>22</v>
      </c>
      <c r="C8" t="s">
        <v>23</v>
      </c>
      <c r="D8" t="s">
        <v>24</v>
      </c>
      <c r="E8">
        <v>72.882415976138503</v>
      </c>
      <c r="F8">
        <v>45.011815764621602</v>
      </c>
      <c r="G8">
        <v>21.849428932358226</v>
      </c>
      <c r="H8">
        <v>64.521235912683423</v>
      </c>
      <c r="I8">
        <v>43.185332422520823</v>
      </c>
      <c r="J8">
        <v>50.938386160759961</v>
      </c>
      <c r="K8">
        <v>50.9</v>
      </c>
      <c r="L8" s="3">
        <v>3</v>
      </c>
      <c r="M8" t="s">
        <v>260</v>
      </c>
      <c r="O8">
        <f t="shared" si="0"/>
        <v>1</v>
      </c>
      <c r="P8">
        <v>1936</v>
      </c>
    </row>
    <row r="9" spans="1:18" x14ac:dyDescent="0.45">
      <c r="A9" s="6">
        <v>43466</v>
      </c>
      <c r="B9" t="s">
        <v>25</v>
      </c>
      <c r="C9" t="s">
        <v>26</v>
      </c>
      <c r="D9" t="s">
        <v>24</v>
      </c>
      <c r="E9">
        <v>65.562364816149952</v>
      </c>
      <c r="F9">
        <v>45.011815764621602</v>
      </c>
      <c r="G9">
        <v>21.849428932358226</v>
      </c>
      <c r="H9">
        <v>59.39720010069145</v>
      </c>
      <c r="I9">
        <v>40.623314516524836</v>
      </c>
      <c r="J9">
        <v>42.470732660489482</v>
      </c>
      <c r="K9">
        <v>42.5</v>
      </c>
      <c r="L9" s="3">
        <v>3</v>
      </c>
      <c r="M9" t="s">
        <v>258</v>
      </c>
      <c r="O9">
        <f t="shared" si="0"/>
        <v>1</v>
      </c>
      <c r="P9">
        <v>2847</v>
      </c>
    </row>
    <row r="10" spans="1:18" x14ac:dyDescent="0.45">
      <c r="A10" s="6">
        <v>43466</v>
      </c>
      <c r="B10" t="s">
        <v>27</v>
      </c>
      <c r="C10" t="s">
        <v>28</v>
      </c>
      <c r="D10" t="s">
        <v>24</v>
      </c>
      <c r="E10">
        <v>73.171203247375331</v>
      </c>
      <c r="F10">
        <v>45.011815764621602</v>
      </c>
      <c r="G10">
        <v>21.849428932358226</v>
      </c>
      <c r="H10">
        <v>64.723387002549202</v>
      </c>
      <c r="I10">
        <v>43.286407967453712</v>
      </c>
      <c r="J10">
        <v>51.272448108508151</v>
      </c>
      <c r="K10">
        <v>51.3</v>
      </c>
      <c r="L10" s="3">
        <v>3</v>
      </c>
      <c r="M10" t="s">
        <v>258</v>
      </c>
      <c r="O10">
        <f t="shared" si="0"/>
        <v>1</v>
      </c>
      <c r="P10">
        <v>3398</v>
      </c>
    </row>
    <row r="11" spans="1:18" x14ac:dyDescent="0.45">
      <c r="A11" s="6">
        <v>43466</v>
      </c>
      <c r="B11" t="s">
        <v>29</v>
      </c>
      <c r="C11" t="s">
        <v>30</v>
      </c>
      <c r="D11" t="s">
        <v>24</v>
      </c>
      <c r="E11">
        <v>73.321522750392589</v>
      </c>
      <c r="F11">
        <v>45.011815764621602</v>
      </c>
      <c r="G11">
        <v>21.849428932358226</v>
      </c>
      <c r="H11">
        <v>64.82861065466129</v>
      </c>
      <c r="I11">
        <v>43.339019793509756</v>
      </c>
      <c r="J11">
        <v>51.446333978710868</v>
      </c>
      <c r="K11">
        <v>51.4</v>
      </c>
      <c r="L11" s="3">
        <v>3</v>
      </c>
      <c r="M11" t="s">
        <v>261</v>
      </c>
      <c r="O11">
        <f t="shared" si="0"/>
        <v>1</v>
      </c>
      <c r="P11">
        <v>4159</v>
      </c>
    </row>
    <row r="12" spans="1:18" x14ac:dyDescent="0.45">
      <c r="A12" s="6">
        <v>43497</v>
      </c>
      <c r="B12" t="s">
        <v>31</v>
      </c>
      <c r="C12" t="s">
        <v>32</v>
      </c>
      <c r="D12" t="s">
        <v>12</v>
      </c>
      <c r="E12">
        <v>66.980819942519076</v>
      </c>
      <c r="F12">
        <v>38.871270487116718</v>
      </c>
      <c r="G12">
        <v>21.666670164193523</v>
      </c>
      <c r="H12">
        <v>58.547955105898367</v>
      </c>
      <c r="I12">
        <v>40.107312635045943</v>
      </c>
      <c r="J12">
        <v>40.765309319136087</v>
      </c>
      <c r="K12">
        <v>40.799999999999997</v>
      </c>
      <c r="L12" s="3">
        <v>3</v>
      </c>
      <c r="M12" t="s">
        <v>262</v>
      </c>
      <c r="O12">
        <f t="shared" si="0"/>
        <v>2</v>
      </c>
      <c r="P12">
        <v>10028</v>
      </c>
    </row>
    <row r="13" spans="1:18" x14ac:dyDescent="0.45">
      <c r="A13" s="6">
        <v>43497</v>
      </c>
      <c r="B13" t="s">
        <v>33</v>
      </c>
      <c r="C13" t="s">
        <v>34</v>
      </c>
      <c r="D13" t="s">
        <v>12</v>
      </c>
      <c r="E13">
        <v>82.829601682946347</v>
      </c>
      <c r="F13">
        <v>38.871270487116718</v>
      </c>
      <c r="G13">
        <v>21.666670164193523</v>
      </c>
      <c r="H13">
        <v>69.642102324197452</v>
      </c>
      <c r="I13">
        <v>45.654386244195486</v>
      </c>
      <c r="J13">
        <v>59.098786674171691</v>
      </c>
      <c r="K13">
        <v>59.1</v>
      </c>
      <c r="L13" s="3">
        <v>3</v>
      </c>
      <c r="M13" t="s">
        <v>263</v>
      </c>
      <c r="O13">
        <f t="shared" si="0"/>
        <v>2</v>
      </c>
      <c r="P13">
        <v>14325</v>
      </c>
    </row>
    <row r="14" spans="1:18" x14ac:dyDescent="0.45">
      <c r="A14" s="6">
        <v>43497</v>
      </c>
      <c r="B14" t="s">
        <v>35</v>
      </c>
      <c r="C14" t="s">
        <v>36</v>
      </c>
      <c r="D14" t="s">
        <v>9</v>
      </c>
      <c r="E14">
        <v>78.049866174161238</v>
      </c>
      <c r="F14">
        <v>38.871270487116718</v>
      </c>
      <c r="G14">
        <v>21.666670164193523</v>
      </c>
      <c r="H14">
        <v>66.296287468047879</v>
      </c>
      <c r="I14">
        <v>43.981478816120699</v>
      </c>
      <c r="J14">
        <v>53.569707269295684</v>
      </c>
      <c r="K14">
        <v>53.6</v>
      </c>
      <c r="L14" s="3">
        <v>3</v>
      </c>
      <c r="M14" t="s">
        <v>262</v>
      </c>
      <c r="O14">
        <f t="shared" si="0"/>
        <v>2</v>
      </c>
      <c r="P14">
        <v>5315</v>
      </c>
    </row>
    <row r="15" spans="1:18" x14ac:dyDescent="0.45">
      <c r="A15" s="6">
        <v>43497</v>
      </c>
      <c r="B15" t="s">
        <v>37</v>
      </c>
      <c r="C15" t="s">
        <v>38</v>
      </c>
      <c r="D15" t="s">
        <v>24</v>
      </c>
      <c r="E15">
        <v>66.107347087929995</v>
      </c>
      <c r="F15">
        <v>38.871270487116718</v>
      </c>
      <c r="G15">
        <v>21.666670164193523</v>
      </c>
      <c r="H15">
        <v>57.936524107686004</v>
      </c>
      <c r="I15">
        <v>39.801597135939765</v>
      </c>
      <c r="J15">
        <v>39.75489760029722</v>
      </c>
      <c r="K15">
        <v>39.799999999999997</v>
      </c>
      <c r="L15" s="3">
        <v>2</v>
      </c>
      <c r="M15" t="s">
        <v>258</v>
      </c>
      <c r="O15">
        <f t="shared" si="0"/>
        <v>2</v>
      </c>
      <c r="P15">
        <v>5606</v>
      </c>
    </row>
    <row r="16" spans="1:18" x14ac:dyDescent="0.45">
      <c r="A16" s="6">
        <v>43497</v>
      </c>
      <c r="B16" t="s">
        <v>39</v>
      </c>
      <c r="C16" t="s">
        <v>40</v>
      </c>
      <c r="D16" t="s">
        <v>24</v>
      </c>
      <c r="E16">
        <v>72.99382228323671</v>
      </c>
      <c r="F16">
        <v>38.871270487116718</v>
      </c>
      <c r="G16">
        <v>21.666670164193523</v>
      </c>
      <c r="H16">
        <v>62.757056744400707</v>
      </c>
      <c r="I16">
        <v>42.211863454297117</v>
      </c>
      <c r="J16">
        <v>47.721001185856878</v>
      </c>
      <c r="K16">
        <v>47.7</v>
      </c>
      <c r="L16" s="3">
        <v>3</v>
      </c>
      <c r="M16" t="s">
        <v>264</v>
      </c>
      <c r="O16">
        <f t="shared" si="0"/>
        <v>2</v>
      </c>
      <c r="P16">
        <v>2500</v>
      </c>
    </row>
    <row r="17" spans="1:16" x14ac:dyDescent="0.45">
      <c r="A17" s="6">
        <v>43497</v>
      </c>
      <c r="B17" t="s">
        <v>41</v>
      </c>
      <c r="C17" t="s">
        <v>42</v>
      </c>
      <c r="D17" t="s">
        <v>24</v>
      </c>
      <c r="E17">
        <v>72.91500824683213</v>
      </c>
      <c r="F17">
        <v>38.871270487116718</v>
      </c>
      <c r="G17">
        <v>21.666670164193523</v>
      </c>
      <c r="H17">
        <v>62.701886918917502</v>
      </c>
      <c r="I17">
        <v>42.184278541555514</v>
      </c>
      <c r="J17">
        <v>47.629831064686208</v>
      </c>
      <c r="K17">
        <v>47.6</v>
      </c>
      <c r="L17" s="3">
        <v>3</v>
      </c>
      <c r="M17" t="s">
        <v>258</v>
      </c>
      <c r="O17">
        <f t="shared" si="0"/>
        <v>2</v>
      </c>
      <c r="P17">
        <v>2101</v>
      </c>
    </row>
    <row r="18" spans="1:16" x14ac:dyDescent="0.45">
      <c r="A18" s="6">
        <v>43497</v>
      </c>
      <c r="B18" t="s">
        <v>43</v>
      </c>
      <c r="C18" t="s">
        <v>44</v>
      </c>
      <c r="D18" t="s">
        <v>24</v>
      </c>
      <c r="E18">
        <v>72.881625860485315</v>
      </c>
      <c r="F18">
        <v>38.871270487116718</v>
      </c>
      <c r="G18">
        <v>21.666670164193523</v>
      </c>
      <c r="H18">
        <v>62.678519248474728</v>
      </c>
      <c r="I18">
        <v>42.172594706334124</v>
      </c>
      <c r="J18">
        <v>47.591215148701608</v>
      </c>
      <c r="K18">
        <v>47.6</v>
      </c>
      <c r="L18" s="3">
        <v>3</v>
      </c>
      <c r="M18" t="s">
        <v>258</v>
      </c>
      <c r="O18">
        <f t="shared" si="0"/>
        <v>2</v>
      </c>
      <c r="P18">
        <v>1932</v>
      </c>
    </row>
    <row r="19" spans="1:16" x14ac:dyDescent="0.45">
      <c r="A19" s="6">
        <v>43525</v>
      </c>
      <c r="B19" t="s">
        <v>45</v>
      </c>
      <c r="C19" t="s">
        <v>46</v>
      </c>
      <c r="D19" t="s">
        <v>12</v>
      </c>
      <c r="E19">
        <v>83.478484163119376</v>
      </c>
      <c r="F19">
        <v>65.069912694936463</v>
      </c>
      <c r="G19">
        <v>27.090829316659214</v>
      </c>
      <c r="H19">
        <v>77.955912722664493</v>
      </c>
      <c r="I19">
        <v>52.523371019661852</v>
      </c>
      <c r="J19">
        <v>81.801275537016338</v>
      </c>
      <c r="K19">
        <v>81.8</v>
      </c>
      <c r="L19" s="3">
        <v>5</v>
      </c>
      <c r="M19" t="s">
        <v>265</v>
      </c>
      <c r="O19">
        <f t="shared" si="0"/>
        <v>3</v>
      </c>
      <c r="P19">
        <v>17610</v>
      </c>
    </row>
    <row r="20" spans="1:16" x14ac:dyDescent="0.45">
      <c r="A20" s="6">
        <v>43525</v>
      </c>
      <c r="B20" t="s">
        <v>47</v>
      </c>
      <c r="C20" t="s">
        <v>48</v>
      </c>
      <c r="D20" t="s">
        <v>12</v>
      </c>
      <c r="E20">
        <v>51.158902134299908</v>
      </c>
      <c r="F20">
        <v>65.069912694936463</v>
      </c>
      <c r="G20">
        <v>27.090829316659214</v>
      </c>
      <c r="H20">
        <v>55.33220530249087</v>
      </c>
      <c r="I20">
        <v>41.211517309575044</v>
      </c>
      <c r="J20">
        <v>44.414785208984149</v>
      </c>
      <c r="K20">
        <v>44.4</v>
      </c>
      <c r="L20" s="3">
        <v>3</v>
      </c>
      <c r="M20" t="s">
        <v>258</v>
      </c>
      <c r="O20">
        <f t="shared" si="0"/>
        <v>3</v>
      </c>
      <c r="P20">
        <v>5867</v>
      </c>
    </row>
    <row r="21" spans="1:16" x14ac:dyDescent="0.45">
      <c r="A21" s="6">
        <v>43525</v>
      </c>
      <c r="B21" t="s">
        <v>49</v>
      </c>
      <c r="C21" t="s">
        <v>50</v>
      </c>
      <c r="D21" t="s">
        <v>9</v>
      </c>
      <c r="E21">
        <v>78.326604181687102</v>
      </c>
      <c r="F21">
        <v>65.069912694936463</v>
      </c>
      <c r="G21">
        <v>27.090829316659214</v>
      </c>
      <c r="H21">
        <v>74.349596735661905</v>
      </c>
      <c r="I21">
        <v>50.720213026160557</v>
      </c>
      <c r="J21">
        <v>75.841708642702898</v>
      </c>
      <c r="K21">
        <v>75.8</v>
      </c>
      <c r="L21" s="3">
        <v>4</v>
      </c>
      <c r="M21" t="s">
        <v>258</v>
      </c>
      <c r="O21">
        <f t="shared" si="0"/>
        <v>3</v>
      </c>
      <c r="P21">
        <v>6716</v>
      </c>
    </row>
    <row r="22" spans="1:16" x14ac:dyDescent="0.45">
      <c r="A22" s="6">
        <v>43525</v>
      </c>
      <c r="B22" t="s">
        <v>51</v>
      </c>
      <c r="C22" t="s">
        <v>52</v>
      </c>
      <c r="D22" t="s">
        <v>9</v>
      </c>
      <c r="E22">
        <v>79.813009254229598</v>
      </c>
      <c r="F22">
        <v>65.069912694936463</v>
      </c>
      <c r="G22">
        <v>27.090829316659214</v>
      </c>
      <c r="H22">
        <v>75.390080286441645</v>
      </c>
      <c r="I22">
        <v>51.240454801550428</v>
      </c>
      <c r="J22">
        <v>77.561145138465577</v>
      </c>
      <c r="K22">
        <v>77.599999999999994</v>
      </c>
      <c r="L22" s="3">
        <v>4</v>
      </c>
      <c r="M22" t="s">
        <v>258</v>
      </c>
      <c r="O22">
        <f t="shared" si="0"/>
        <v>3</v>
      </c>
      <c r="P22">
        <v>14241</v>
      </c>
    </row>
    <row r="23" spans="1:16" x14ac:dyDescent="0.45">
      <c r="A23" s="6">
        <v>43525</v>
      </c>
      <c r="B23" t="s">
        <v>53</v>
      </c>
      <c r="C23" t="s">
        <v>54</v>
      </c>
      <c r="D23" t="s">
        <v>24</v>
      </c>
      <c r="E23">
        <v>73.604186625317283</v>
      </c>
      <c r="F23">
        <v>65.069912694936463</v>
      </c>
      <c r="G23">
        <v>27.090829316659214</v>
      </c>
      <c r="H23">
        <v>71.043904446203044</v>
      </c>
      <c r="I23">
        <v>49.067366881431127</v>
      </c>
      <c r="J23">
        <v>70.378933222565507</v>
      </c>
      <c r="K23">
        <v>70.400000000000006</v>
      </c>
      <c r="L23" s="3">
        <v>4</v>
      </c>
      <c r="M23" t="s">
        <v>258</v>
      </c>
      <c r="O23">
        <f t="shared" si="0"/>
        <v>3</v>
      </c>
      <c r="P23">
        <v>5590</v>
      </c>
    </row>
    <row r="24" spans="1:16" x14ac:dyDescent="0.45">
      <c r="A24" s="6">
        <v>43525</v>
      </c>
      <c r="B24" t="s">
        <v>55</v>
      </c>
      <c r="C24" t="s">
        <v>56</v>
      </c>
      <c r="D24" t="s">
        <v>24</v>
      </c>
      <c r="E24">
        <v>73.2168324263464</v>
      </c>
      <c r="F24">
        <v>65.069912694936463</v>
      </c>
      <c r="G24">
        <v>27.090829316659214</v>
      </c>
      <c r="H24">
        <v>70.772756506923415</v>
      </c>
      <c r="I24">
        <v>48.931792911791312</v>
      </c>
      <c r="J24">
        <v>69.93085149921788</v>
      </c>
      <c r="K24">
        <v>69.900000000000006</v>
      </c>
      <c r="L24" s="3">
        <v>4</v>
      </c>
      <c r="M24" t="s">
        <v>258</v>
      </c>
      <c r="O24">
        <f t="shared" si="0"/>
        <v>3</v>
      </c>
      <c r="P24">
        <v>3629</v>
      </c>
    </row>
    <row r="25" spans="1:16" x14ac:dyDescent="0.45">
      <c r="A25" s="6">
        <v>43525</v>
      </c>
      <c r="B25" t="s">
        <v>57</v>
      </c>
      <c r="C25" t="s">
        <v>58</v>
      </c>
      <c r="D25" t="s">
        <v>24</v>
      </c>
      <c r="E25">
        <v>53.366559342623766</v>
      </c>
      <c r="F25">
        <v>65.069912694936463</v>
      </c>
      <c r="G25">
        <v>27.090829316659214</v>
      </c>
      <c r="H25">
        <v>56.877565348317574</v>
      </c>
      <c r="I25">
        <v>41.984197332488392</v>
      </c>
      <c r="J25">
        <v>46.968548274144219</v>
      </c>
      <c r="K25">
        <v>47</v>
      </c>
      <c r="L25" s="3">
        <v>3</v>
      </c>
      <c r="M25" t="s">
        <v>266</v>
      </c>
      <c r="O25">
        <f t="shared" si="0"/>
        <v>3</v>
      </c>
      <c r="P25">
        <v>4387</v>
      </c>
    </row>
    <row r="26" spans="1:16" x14ac:dyDescent="0.45">
      <c r="A26" s="6">
        <v>43556</v>
      </c>
      <c r="B26" t="s">
        <v>59</v>
      </c>
      <c r="C26" t="s">
        <v>60</v>
      </c>
      <c r="D26" t="s">
        <v>12</v>
      </c>
      <c r="E26">
        <v>86.030557722886698</v>
      </c>
      <c r="F26">
        <v>78.38224790264799</v>
      </c>
      <c r="G26">
        <v>26.841780731406129</v>
      </c>
      <c r="H26">
        <v>83.736064776815084</v>
      </c>
      <c r="I26">
        <v>55.288922754110608</v>
      </c>
      <c r="J26">
        <v>90.941622983292476</v>
      </c>
      <c r="K26">
        <v>90.9</v>
      </c>
      <c r="L26" s="3">
        <v>5</v>
      </c>
      <c r="M26" t="s">
        <v>260</v>
      </c>
      <c r="O26">
        <f t="shared" si="0"/>
        <v>4</v>
      </c>
      <c r="P26">
        <v>30530</v>
      </c>
    </row>
    <row r="27" spans="1:16" x14ac:dyDescent="0.45">
      <c r="A27" s="6">
        <v>43556</v>
      </c>
      <c r="B27" t="s">
        <v>61</v>
      </c>
      <c r="C27" t="s">
        <v>62</v>
      </c>
      <c r="D27" t="s">
        <v>12</v>
      </c>
      <c r="E27">
        <v>83.581001669119331</v>
      </c>
      <c r="F27">
        <v>78.38224790264799</v>
      </c>
      <c r="G27">
        <v>26.841780731406129</v>
      </c>
      <c r="H27">
        <v>82.021375539177924</v>
      </c>
      <c r="I27">
        <v>54.431578135292028</v>
      </c>
      <c r="J27">
        <v>88.10803733758442</v>
      </c>
      <c r="K27">
        <v>88.1</v>
      </c>
      <c r="L27" s="3">
        <v>5</v>
      </c>
      <c r="M27" t="s">
        <v>263</v>
      </c>
      <c r="O27">
        <f t="shared" si="0"/>
        <v>4</v>
      </c>
      <c r="P27">
        <v>18129</v>
      </c>
    </row>
    <row r="28" spans="1:16" x14ac:dyDescent="0.45">
      <c r="A28" s="6">
        <v>43556</v>
      </c>
      <c r="B28" t="s">
        <v>63</v>
      </c>
      <c r="C28" t="s">
        <v>64</v>
      </c>
      <c r="D28" t="s">
        <v>12</v>
      </c>
      <c r="E28">
        <v>76.580354761928277</v>
      </c>
      <c r="F28">
        <v>78.38224790264799</v>
      </c>
      <c r="G28">
        <v>26.841780731406129</v>
      </c>
      <c r="H28">
        <v>77.120922704144192</v>
      </c>
      <c r="I28">
        <v>51.981351717775162</v>
      </c>
      <c r="J28">
        <v>80.009862749426645</v>
      </c>
      <c r="K28">
        <v>80</v>
      </c>
      <c r="L28" s="3">
        <v>5</v>
      </c>
      <c r="M28" t="s">
        <v>261</v>
      </c>
      <c r="O28">
        <f t="shared" si="0"/>
        <v>4</v>
      </c>
      <c r="P28">
        <v>20657</v>
      </c>
    </row>
    <row r="29" spans="1:16" x14ac:dyDescent="0.45">
      <c r="A29" s="6">
        <v>43556</v>
      </c>
      <c r="B29" t="s">
        <v>65</v>
      </c>
      <c r="C29" t="s">
        <v>66</v>
      </c>
      <c r="D29" t="s">
        <v>9</v>
      </c>
      <c r="E29">
        <v>70.971392875132096</v>
      </c>
      <c r="F29">
        <v>78.38224790264799</v>
      </c>
      <c r="G29">
        <v>26.841780731406129</v>
      </c>
      <c r="H29">
        <v>73.19464938338686</v>
      </c>
      <c r="I29">
        <v>50.018215057396496</v>
      </c>
      <c r="J29">
        <v>73.521554851632132</v>
      </c>
      <c r="K29">
        <v>73.5</v>
      </c>
      <c r="L29" s="3">
        <v>4</v>
      </c>
      <c r="M29" t="s">
        <v>258</v>
      </c>
      <c r="O29">
        <f t="shared" si="0"/>
        <v>4</v>
      </c>
      <c r="P29">
        <v>7449</v>
      </c>
    </row>
    <row r="30" spans="1:16" x14ac:dyDescent="0.45">
      <c r="A30" s="6">
        <v>43556</v>
      </c>
      <c r="B30" t="s">
        <v>67</v>
      </c>
      <c r="C30" t="s">
        <v>68</v>
      </c>
      <c r="D30" t="s">
        <v>9</v>
      </c>
      <c r="E30">
        <v>78.710402860218665</v>
      </c>
      <c r="F30">
        <v>78.38224790264799</v>
      </c>
      <c r="G30">
        <v>26.841780731406129</v>
      </c>
      <c r="H30">
        <v>78.611956372947461</v>
      </c>
      <c r="I30">
        <v>52.726868552176796</v>
      </c>
      <c r="J30">
        <v>82.473849522336209</v>
      </c>
      <c r="K30">
        <v>82.5</v>
      </c>
      <c r="L30" s="3">
        <v>5</v>
      </c>
      <c r="M30" t="s">
        <v>263</v>
      </c>
      <c r="O30">
        <f t="shared" si="0"/>
        <v>4</v>
      </c>
      <c r="P30">
        <v>8659</v>
      </c>
    </row>
    <row r="31" spans="1:16" x14ac:dyDescent="0.45">
      <c r="A31" s="6">
        <v>43556</v>
      </c>
      <c r="B31" t="s">
        <v>69</v>
      </c>
      <c r="C31" t="s">
        <v>70</v>
      </c>
      <c r="D31" t="s">
        <v>21</v>
      </c>
      <c r="E31">
        <v>47.647312125312347</v>
      </c>
      <c r="F31">
        <v>78.38224790264799</v>
      </c>
      <c r="G31">
        <v>26.841780731406129</v>
      </c>
      <c r="H31">
        <v>56.867792858513035</v>
      </c>
      <c r="I31">
        <v>41.85478679495958</v>
      </c>
      <c r="J31">
        <v>46.540837137343345</v>
      </c>
      <c r="K31">
        <v>46.5</v>
      </c>
      <c r="L31" s="3">
        <v>3</v>
      </c>
      <c r="M31" t="s">
        <v>258</v>
      </c>
      <c r="O31">
        <f t="shared" si="0"/>
        <v>4</v>
      </c>
      <c r="P31">
        <v>48840</v>
      </c>
    </row>
    <row r="32" spans="1:16" x14ac:dyDescent="0.45">
      <c r="A32" s="6">
        <v>43556</v>
      </c>
      <c r="B32" t="s">
        <v>71</v>
      </c>
      <c r="C32" t="s">
        <v>72</v>
      </c>
      <c r="D32" t="s">
        <v>21</v>
      </c>
      <c r="E32">
        <v>48.198516557861154</v>
      </c>
      <c r="F32">
        <v>78.38224790264799</v>
      </c>
      <c r="G32">
        <v>26.841780731406129</v>
      </c>
      <c r="H32">
        <v>57.253635961297199</v>
      </c>
      <c r="I32">
        <v>42.047708346351662</v>
      </c>
      <c r="J32">
        <v>47.178456744177325</v>
      </c>
      <c r="K32">
        <v>47.2</v>
      </c>
      <c r="L32" s="3">
        <v>3</v>
      </c>
      <c r="M32" t="s">
        <v>258</v>
      </c>
      <c r="O32">
        <f t="shared" si="0"/>
        <v>4</v>
      </c>
      <c r="P32">
        <v>1005</v>
      </c>
    </row>
    <row r="33" spans="1:16" x14ac:dyDescent="0.45">
      <c r="A33" s="6">
        <v>43556</v>
      </c>
      <c r="B33" t="s">
        <v>73</v>
      </c>
      <c r="C33" t="s">
        <v>74</v>
      </c>
      <c r="D33" t="s">
        <v>24</v>
      </c>
      <c r="E33">
        <v>72.960439896889909</v>
      </c>
      <c r="F33">
        <v>78.38224790264799</v>
      </c>
      <c r="G33">
        <v>26.841780731406129</v>
      </c>
      <c r="H33">
        <v>74.586982298617329</v>
      </c>
      <c r="I33">
        <v>50.714381515011731</v>
      </c>
      <c r="J33">
        <v>75.822435078815744</v>
      </c>
      <c r="K33">
        <v>75.8</v>
      </c>
      <c r="L33" s="3">
        <v>4</v>
      </c>
      <c r="M33" t="s">
        <v>258</v>
      </c>
      <c r="O33">
        <f t="shared" si="0"/>
        <v>4</v>
      </c>
      <c r="P33">
        <v>2331</v>
      </c>
    </row>
    <row r="34" spans="1:16" x14ac:dyDescent="0.45">
      <c r="A34" s="6">
        <v>43556</v>
      </c>
      <c r="B34" t="s">
        <v>75</v>
      </c>
      <c r="C34" t="s">
        <v>76</v>
      </c>
      <c r="D34" t="s">
        <v>24</v>
      </c>
      <c r="E34">
        <v>73.868875369132155</v>
      </c>
      <c r="F34">
        <v>78.38224790264799</v>
      </c>
      <c r="G34">
        <v>26.841780731406129</v>
      </c>
      <c r="H34">
        <v>75.222887129186901</v>
      </c>
      <c r="I34">
        <v>51.032333930296517</v>
      </c>
      <c r="J34">
        <v>76.873290685993496</v>
      </c>
      <c r="K34">
        <v>76.900000000000006</v>
      </c>
      <c r="L34" s="3">
        <v>4</v>
      </c>
      <c r="M34" t="s">
        <v>258</v>
      </c>
      <c r="O34">
        <f t="shared" si="0"/>
        <v>4</v>
      </c>
      <c r="P34">
        <v>6930</v>
      </c>
    </row>
    <row r="35" spans="1:16" x14ac:dyDescent="0.45">
      <c r="A35" s="6">
        <v>43556</v>
      </c>
      <c r="B35" t="s">
        <v>77</v>
      </c>
      <c r="C35" t="s">
        <v>78</v>
      </c>
      <c r="D35" t="s">
        <v>24</v>
      </c>
      <c r="E35">
        <v>72.844885482612526</v>
      </c>
      <c r="F35">
        <v>78.38224790264799</v>
      </c>
      <c r="G35">
        <v>26.841780731406129</v>
      </c>
      <c r="H35">
        <v>74.506094208623153</v>
      </c>
      <c r="I35">
        <v>50.673937470014643</v>
      </c>
      <c r="J35">
        <v>75.688764600407609</v>
      </c>
      <c r="K35">
        <v>75.7</v>
      </c>
      <c r="L35" s="3">
        <v>4</v>
      </c>
      <c r="M35" t="s">
        <v>265</v>
      </c>
      <c r="O35">
        <f t="shared" si="0"/>
        <v>4</v>
      </c>
      <c r="P35">
        <v>1746</v>
      </c>
    </row>
    <row r="36" spans="1:16" x14ac:dyDescent="0.45">
      <c r="A36" s="6">
        <v>43556</v>
      </c>
      <c r="B36" t="s">
        <v>79</v>
      </c>
      <c r="C36" t="s">
        <v>80</v>
      </c>
      <c r="D36" t="s">
        <v>24</v>
      </c>
      <c r="E36">
        <v>33.028192314149976</v>
      </c>
      <c r="F36">
        <v>78.38224790264799</v>
      </c>
      <c r="G36">
        <v>26.841780731406129</v>
      </c>
      <c r="H36">
        <v>46.634408990699377</v>
      </c>
      <c r="I36">
        <v>36.738094861052751</v>
      </c>
      <c r="J36">
        <v>29.629802182219265</v>
      </c>
      <c r="K36">
        <v>29.6</v>
      </c>
      <c r="L36" s="3">
        <v>2</v>
      </c>
      <c r="M36" t="s">
        <v>262</v>
      </c>
      <c r="O36">
        <f t="shared" si="0"/>
        <v>4</v>
      </c>
      <c r="P36">
        <v>2674</v>
      </c>
    </row>
    <row r="37" spans="1:16" x14ac:dyDescent="0.45">
      <c r="A37" s="6">
        <v>43556</v>
      </c>
      <c r="B37" t="s">
        <v>81</v>
      </c>
      <c r="C37" t="s">
        <v>82</v>
      </c>
      <c r="D37" t="s">
        <v>24</v>
      </c>
      <c r="E37">
        <v>65.30221923734085</v>
      </c>
      <c r="F37">
        <v>78.38224790264799</v>
      </c>
      <c r="G37">
        <v>26.841780731406129</v>
      </c>
      <c r="H37">
        <v>69.226227836932992</v>
      </c>
      <c r="I37">
        <v>48.034004284169562</v>
      </c>
      <c r="J37">
        <v>66.963595494725197</v>
      </c>
      <c r="K37">
        <v>67</v>
      </c>
      <c r="L37" s="3">
        <v>4</v>
      </c>
      <c r="M37" t="s">
        <v>258</v>
      </c>
      <c r="O37">
        <f t="shared" si="0"/>
        <v>4</v>
      </c>
      <c r="P37">
        <v>1530</v>
      </c>
    </row>
    <row r="38" spans="1:16" x14ac:dyDescent="0.45">
      <c r="A38" s="6">
        <v>43556</v>
      </c>
      <c r="B38" t="s">
        <v>83</v>
      </c>
      <c r="C38" t="s">
        <v>84</v>
      </c>
      <c r="D38" t="s">
        <v>24</v>
      </c>
      <c r="E38">
        <v>32.753824653583663</v>
      </c>
      <c r="F38">
        <v>78.38224790264799</v>
      </c>
      <c r="G38">
        <v>26.841780731406129</v>
      </c>
      <c r="H38">
        <v>46.442351628302958</v>
      </c>
      <c r="I38">
        <v>36.642066179854545</v>
      </c>
      <c r="J38">
        <v>29.312420482204089</v>
      </c>
      <c r="K38">
        <v>29.3</v>
      </c>
      <c r="L38" s="3">
        <v>2</v>
      </c>
      <c r="M38" t="s">
        <v>258</v>
      </c>
      <c r="O38">
        <f t="shared" si="0"/>
        <v>4</v>
      </c>
      <c r="P38">
        <v>1285</v>
      </c>
    </row>
    <row r="39" spans="1:16" x14ac:dyDescent="0.45">
      <c r="A39" s="6">
        <v>43586</v>
      </c>
      <c r="B39" t="s">
        <v>85</v>
      </c>
      <c r="C39" t="s">
        <v>86</v>
      </c>
      <c r="D39" t="s">
        <v>12</v>
      </c>
      <c r="E39">
        <v>63.344164502078989</v>
      </c>
      <c r="F39">
        <v>99.996489743751283</v>
      </c>
      <c r="G39">
        <v>27.626843031150138</v>
      </c>
      <c r="H39">
        <v>74.33986207458068</v>
      </c>
      <c r="I39">
        <v>50.983352552865412</v>
      </c>
      <c r="J39">
        <v>76.711403709683964</v>
      </c>
      <c r="K39">
        <v>76.7</v>
      </c>
      <c r="L39" s="3">
        <v>4</v>
      </c>
      <c r="M39" t="s">
        <v>258</v>
      </c>
      <c r="O39">
        <f t="shared" si="0"/>
        <v>5</v>
      </c>
      <c r="P39">
        <v>16930</v>
      </c>
    </row>
    <row r="40" spans="1:16" x14ac:dyDescent="0.45">
      <c r="A40" s="6">
        <v>43586</v>
      </c>
      <c r="B40" t="s">
        <v>87</v>
      </c>
      <c r="C40" t="s">
        <v>88</v>
      </c>
      <c r="D40" t="s">
        <v>12</v>
      </c>
      <c r="E40">
        <v>73.511545564982072</v>
      </c>
      <c r="F40">
        <v>99.996489743751283</v>
      </c>
      <c r="G40">
        <v>27.626843031150138</v>
      </c>
      <c r="H40">
        <v>81.457028818612827</v>
      </c>
      <c r="I40">
        <v>54.541935924881486</v>
      </c>
      <c r="J40">
        <v>88.47277777172124</v>
      </c>
      <c r="K40">
        <v>88.5</v>
      </c>
      <c r="L40" s="3">
        <v>5</v>
      </c>
      <c r="M40" t="s">
        <v>258</v>
      </c>
      <c r="O40">
        <f t="shared" si="0"/>
        <v>5</v>
      </c>
      <c r="P40">
        <v>5121</v>
      </c>
    </row>
    <row r="41" spans="1:16" x14ac:dyDescent="0.45">
      <c r="A41" s="6">
        <v>43586</v>
      </c>
      <c r="B41" t="s">
        <v>89</v>
      </c>
      <c r="C41" t="s">
        <v>90</v>
      </c>
      <c r="D41" t="s">
        <v>12</v>
      </c>
      <c r="E41">
        <v>64.415363798876058</v>
      </c>
      <c r="F41">
        <v>99.996489743751283</v>
      </c>
      <c r="G41">
        <v>27.626843031150138</v>
      </c>
      <c r="H41">
        <v>75.08970158233862</v>
      </c>
      <c r="I41">
        <v>51.358272306744382</v>
      </c>
      <c r="J41">
        <v>77.950540469354522</v>
      </c>
      <c r="K41">
        <v>78</v>
      </c>
      <c r="L41" s="3">
        <v>4</v>
      </c>
      <c r="M41" t="s">
        <v>258</v>
      </c>
      <c r="O41">
        <f t="shared" si="0"/>
        <v>5</v>
      </c>
      <c r="P41">
        <v>22353</v>
      </c>
    </row>
    <row r="42" spans="1:16" x14ac:dyDescent="0.45">
      <c r="A42" s="6">
        <v>43586</v>
      </c>
      <c r="B42" t="s">
        <v>91</v>
      </c>
      <c r="C42" t="s">
        <v>92</v>
      </c>
      <c r="D42" t="s">
        <v>12</v>
      </c>
      <c r="E42">
        <v>83.476508873986432</v>
      </c>
      <c r="F42">
        <v>99.996489743751283</v>
      </c>
      <c r="G42">
        <v>27.626843031150138</v>
      </c>
      <c r="H42">
        <v>88.432503134915876</v>
      </c>
      <c r="I42">
        <v>58.029673083033003</v>
      </c>
      <c r="J42">
        <v>100</v>
      </c>
      <c r="K42">
        <v>100</v>
      </c>
      <c r="L42" s="3">
        <v>5</v>
      </c>
      <c r="M42" t="s">
        <v>258</v>
      </c>
      <c r="O42">
        <f t="shared" si="0"/>
        <v>5</v>
      </c>
      <c r="P42">
        <v>17600</v>
      </c>
    </row>
    <row r="43" spans="1:16" x14ac:dyDescent="0.45">
      <c r="A43" s="6">
        <v>43586</v>
      </c>
      <c r="B43" t="s">
        <v>93</v>
      </c>
      <c r="C43" t="s">
        <v>94</v>
      </c>
      <c r="D43" t="s">
        <v>9</v>
      </c>
      <c r="E43">
        <v>78.157519431906849</v>
      </c>
      <c r="F43">
        <v>99.996489743751283</v>
      </c>
      <c r="G43">
        <v>27.626843031150138</v>
      </c>
      <c r="H43">
        <v>84.709210525460179</v>
      </c>
      <c r="I43">
        <v>56.168026778305162</v>
      </c>
      <c r="J43">
        <v>93.847125029219441</v>
      </c>
      <c r="K43">
        <v>93.8</v>
      </c>
      <c r="L43" s="3">
        <v>5</v>
      </c>
      <c r="M43" t="s">
        <v>258</v>
      </c>
      <c r="O43">
        <f t="shared" si="0"/>
        <v>5</v>
      </c>
      <c r="P43">
        <v>5860</v>
      </c>
    </row>
    <row r="44" spans="1:16" x14ac:dyDescent="0.45">
      <c r="A44" s="6">
        <v>43586</v>
      </c>
      <c r="B44" t="s">
        <v>95</v>
      </c>
      <c r="C44" t="s">
        <v>96</v>
      </c>
      <c r="D44" t="s">
        <v>9</v>
      </c>
      <c r="E44">
        <v>70.028389843063295</v>
      </c>
      <c r="F44">
        <v>99.996489743751283</v>
      </c>
      <c r="G44">
        <v>27.626843031150138</v>
      </c>
      <c r="H44">
        <v>79.018819813269687</v>
      </c>
      <c r="I44">
        <v>53.322831422209916</v>
      </c>
      <c r="J44">
        <v>84.443549683547758</v>
      </c>
      <c r="K44">
        <v>84.4</v>
      </c>
      <c r="L44" s="3">
        <v>5</v>
      </c>
      <c r="M44" t="s">
        <v>263</v>
      </c>
      <c r="O44">
        <f t="shared" si="0"/>
        <v>5</v>
      </c>
      <c r="P44">
        <v>2675</v>
      </c>
    </row>
    <row r="45" spans="1:16" x14ac:dyDescent="0.45">
      <c r="A45" s="6">
        <v>43586</v>
      </c>
      <c r="B45" t="s">
        <v>97</v>
      </c>
      <c r="C45" t="s">
        <v>98</v>
      </c>
      <c r="D45" t="s">
        <v>21</v>
      </c>
      <c r="E45">
        <v>41.517002301211839</v>
      </c>
      <c r="F45">
        <v>99.996489743751283</v>
      </c>
      <c r="G45">
        <v>27.626843031150138</v>
      </c>
      <c r="H45">
        <v>59.060848533973669</v>
      </c>
      <c r="I45">
        <v>43.3438457825619</v>
      </c>
      <c r="J45">
        <v>51.462284219727536</v>
      </c>
      <c r="K45">
        <v>51.5</v>
      </c>
      <c r="L45" s="3">
        <v>3</v>
      </c>
      <c r="M45" t="s">
        <v>258</v>
      </c>
      <c r="O45">
        <f t="shared" si="0"/>
        <v>5</v>
      </c>
      <c r="P45">
        <v>17805</v>
      </c>
    </row>
    <row r="46" spans="1:16" x14ac:dyDescent="0.45">
      <c r="A46" s="6">
        <v>43586</v>
      </c>
      <c r="B46" t="s">
        <v>99</v>
      </c>
      <c r="C46" t="s">
        <v>100</v>
      </c>
      <c r="D46" t="s">
        <v>21</v>
      </c>
      <c r="E46">
        <v>61.02838984306328</v>
      </c>
      <c r="F46">
        <v>99.996489743751283</v>
      </c>
      <c r="G46">
        <v>27.626843031150138</v>
      </c>
      <c r="H46">
        <v>72.718819813269675</v>
      </c>
      <c r="I46">
        <v>50.17283142220991</v>
      </c>
      <c r="J46">
        <v>74.032573061008151</v>
      </c>
      <c r="K46">
        <v>74</v>
      </c>
      <c r="L46" s="3">
        <v>4</v>
      </c>
      <c r="M46" t="s">
        <v>258</v>
      </c>
      <c r="O46">
        <f t="shared" si="0"/>
        <v>5</v>
      </c>
      <c r="P46">
        <v>2675</v>
      </c>
    </row>
    <row r="47" spans="1:16" x14ac:dyDescent="0.45">
      <c r="A47" s="6">
        <v>43586</v>
      </c>
      <c r="B47" t="s">
        <v>101</v>
      </c>
      <c r="C47" t="s">
        <v>102</v>
      </c>
      <c r="D47" t="s">
        <v>24</v>
      </c>
      <c r="E47">
        <v>34.880025876287633</v>
      </c>
      <c r="F47">
        <v>99.996489743751283</v>
      </c>
      <c r="G47">
        <v>27.626843031150138</v>
      </c>
      <c r="H47">
        <v>54.414965036526723</v>
      </c>
      <c r="I47">
        <v>41.020904033838434</v>
      </c>
      <c r="J47">
        <v>43.784794619257312</v>
      </c>
      <c r="K47">
        <v>43.8</v>
      </c>
      <c r="L47" s="3">
        <v>3</v>
      </c>
      <c r="M47" t="s">
        <v>261</v>
      </c>
      <c r="O47">
        <f t="shared" si="0"/>
        <v>5</v>
      </c>
      <c r="P47">
        <v>12049</v>
      </c>
    </row>
    <row r="48" spans="1:16" x14ac:dyDescent="0.45">
      <c r="A48" s="6">
        <v>43586</v>
      </c>
      <c r="B48" t="s">
        <v>103</v>
      </c>
      <c r="C48" t="s">
        <v>104</v>
      </c>
      <c r="D48" t="s">
        <v>24</v>
      </c>
      <c r="E48">
        <v>52.789774915803292</v>
      </c>
      <c r="F48">
        <v>99.996489743751283</v>
      </c>
      <c r="G48">
        <v>27.626843031150138</v>
      </c>
      <c r="H48">
        <v>66.95178936418769</v>
      </c>
      <c r="I48">
        <v>47.28931619766891</v>
      </c>
      <c r="J48">
        <v>64.502347793251545</v>
      </c>
      <c r="K48">
        <v>64.5</v>
      </c>
      <c r="L48" s="3">
        <v>4</v>
      </c>
      <c r="M48" t="s">
        <v>258</v>
      </c>
      <c r="O48">
        <f t="shared" si="0"/>
        <v>5</v>
      </c>
      <c r="P48">
        <v>1467</v>
      </c>
    </row>
    <row r="49" spans="1:16" x14ac:dyDescent="0.45">
      <c r="A49" s="6">
        <v>43586</v>
      </c>
      <c r="B49" t="s">
        <v>105</v>
      </c>
      <c r="C49" t="s">
        <v>106</v>
      </c>
      <c r="D49" t="s">
        <v>24</v>
      </c>
      <c r="E49">
        <v>72.804787113213692</v>
      </c>
      <c r="F49">
        <v>99.996489743751283</v>
      </c>
      <c r="G49">
        <v>27.626843031150138</v>
      </c>
      <c r="H49">
        <v>80.962297902374971</v>
      </c>
      <c r="I49">
        <v>54.294570466762551</v>
      </c>
      <c r="J49">
        <v>87.655217136260916</v>
      </c>
      <c r="K49">
        <v>87.7</v>
      </c>
      <c r="L49" s="3">
        <v>5</v>
      </c>
      <c r="M49" t="s">
        <v>258</v>
      </c>
      <c r="O49">
        <f t="shared" si="0"/>
        <v>5</v>
      </c>
      <c r="P49">
        <v>1543</v>
      </c>
    </row>
    <row r="50" spans="1:16" x14ac:dyDescent="0.45">
      <c r="A50" s="6">
        <v>43586</v>
      </c>
      <c r="B50" t="s">
        <v>107</v>
      </c>
      <c r="C50" t="s">
        <v>108</v>
      </c>
      <c r="D50" t="s">
        <v>24</v>
      </c>
      <c r="E50">
        <v>65.938064809236437</v>
      </c>
      <c r="F50">
        <v>99.996489743751283</v>
      </c>
      <c r="G50">
        <v>27.626843031150138</v>
      </c>
      <c r="H50">
        <v>76.155592289590885</v>
      </c>
      <c r="I50">
        <v>51.891217660370515</v>
      </c>
      <c r="J50">
        <v>79.711963205130004</v>
      </c>
      <c r="K50">
        <v>79.7</v>
      </c>
      <c r="L50" s="3">
        <v>4</v>
      </c>
      <c r="M50" t="s">
        <v>258</v>
      </c>
      <c r="O50">
        <f t="shared" si="0"/>
        <v>5</v>
      </c>
      <c r="P50">
        <v>4749</v>
      </c>
    </row>
    <row r="51" spans="1:16" x14ac:dyDescent="0.45">
      <c r="A51" s="6">
        <v>43586</v>
      </c>
      <c r="B51" t="s">
        <v>109</v>
      </c>
      <c r="C51" t="s">
        <v>110</v>
      </c>
      <c r="D51" t="s">
        <v>24</v>
      </c>
      <c r="E51">
        <v>66.353073056068567</v>
      </c>
      <c r="F51">
        <v>99.996489743751283</v>
      </c>
      <c r="G51">
        <v>27.626843031150138</v>
      </c>
      <c r="H51">
        <v>76.44609806237338</v>
      </c>
      <c r="I51">
        <v>52.036470546761763</v>
      </c>
      <c r="J51">
        <v>80.19203444467783</v>
      </c>
      <c r="K51">
        <v>80.2</v>
      </c>
      <c r="L51" s="3">
        <v>5</v>
      </c>
      <c r="M51" t="s">
        <v>266</v>
      </c>
      <c r="O51">
        <f t="shared" si="0"/>
        <v>5</v>
      </c>
      <c r="P51">
        <v>6850</v>
      </c>
    </row>
    <row r="52" spans="1:16" x14ac:dyDescent="0.45">
      <c r="A52" s="6">
        <v>43586</v>
      </c>
      <c r="B52" t="s">
        <v>111</v>
      </c>
      <c r="C52" t="s">
        <v>112</v>
      </c>
      <c r="D52" t="s">
        <v>24</v>
      </c>
      <c r="E52">
        <v>72.966168235375449</v>
      </c>
      <c r="F52">
        <v>99.996489743751283</v>
      </c>
      <c r="G52">
        <v>27.626843031150138</v>
      </c>
      <c r="H52">
        <v>81.075264687888193</v>
      </c>
      <c r="I52">
        <v>54.351053859519169</v>
      </c>
      <c r="J52">
        <v>87.841898812943725</v>
      </c>
      <c r="K52">
        <v>87.8</v>
      </c>
      <c r="L52" s="3">
        <v>5</v>
      </c>
      <c r="M52" t="s">
        <v>258</v>
      </c>
      <c r="O52">
        <f t="shared" si="0"/>
        <v>5</v>
      </c>
      <c r="P52">
        <v>2360</v>
      </c>
    </row>
    <row r="53" spans="1:16" x14ac:dyDescent="0.45">
      <c r="A53" s="6">
        <v>43586</v>
      </c>
      <c r="B53" t="s">
        <v>113</v>
      </c>
      <c r="C53" t="s">
        <v>114</v>
      </c>
      <c r="D53" t="s">
        <v>24</v>
      </c>
      <c r="E53">
        <v>65.528389843063266</v>
      </c>
      <c r="F53">
        <v>99.996489743751283</v>
      </c>
      <c r="G53">
        <v>27.626843031150138</v>
      </c>
      <c r="H53">
        <v>75.868819813269667</v>
      </c>
      <c r="I53">
        <v>51.747831422209899</v>
      </c>
      <c r="J53">
        <v>79.238061372277912</v>
      </c>
      <c r="K53">
        <v>79.2</v>
      </c>
      <c r="L53" s="3">
        <v>4</v>
      </c>
      <c r="M53" t="s">
        <v>264</v>
      </c>
      <c r="O53">
        <f t="shared" si="0"/>
        <v>5</v>
      </c>
      <c r="P53">
        <v>2675</v>
      </c>
    </row>
    <row r="54" spans="1:16" x14ac:dyDescent="0.45">
      <c r="A54" s="6">
        <v>43586</v>
      </c>
      <c r="B54" t="s">
        <v>115</v>
      </c>
      <c r="C54" t="s">
        <v>116</v>
      </c>
      <c r="D54" t="s">
        <v>24</v>
      </c>
      <c r="E54">
        <v>65.565130220936084</v>
      </c>
      <c r="F54">
        <v>99.996489743751283</v>
      </c>
      <c r="G54">
        <v>27.626843031150138</v>
      </c>
      <c r="H54">
        <v>75.894538077780638</v>
      </c>
      <c r="I54">
        <v>51.760690554465384</v>
      </c>
      <c r="J54">
        <v>79.28056172951537</v>
      </c>
      <c r="K54">
        <v>79.3</v>
      </c>
      <c r="L54" s="3">
        <v>4</v>
      </c>
      <c r="M54" t="s">
        <v>266</v>
      </c>
      <c r="O54">
        <f t="shared" si="0"/>
        <v>5</v>
      </c>
      <c r="P54">
        <v>2861</v>
      </c>
    </row>
    <row r="55" spans="1:16" x14ac:dyDescent="0.45">
      <c r="A55" s="6">
        <v>43617</v>
      </c>
      <c r="B55" t="s">
        <v>117</v>
      </c>
      <c r="C55" t="s">
        <v>118</v>
      </c>
      <c r="D55" t="s">
        <v>12</v>
      </c>
      <c r="E55">
        <v>44.910963842332421</v>
      </c>
      <c r="F55">
        <v>93.714276866968035</v>
      </c>
      <c r="G55">
        <v>27.456141621356771</v>
      </c>
      <c r="H55">
        <v>59.551957749723101</v>
      </c>
      <c r="I55">
        <v>43.50404968553994</v>
      </c>
      <c r="J55">
        <v>51.991769644725629</v>
      </c>
      <c r="K55">
        <v>52</v>
      </c>
      <c r="L55" s="3">
        <v>3</v>
      </c>
      <c r="M55" t="s">
        <v>265</v>
      </c>
      <c r="O55">
        <f t="shared" si="0"/>
        <v>6</v>
      </c>
      <c r="P55">
        <v>24862</v>
      </c>
    </row>
    <row r="56" spans="1:16" x14ac:dyDescent="0.45">
      <c r="A56" s="6">
        <v>43617</v>
      </c>
      <c r="B56" t="s">
        <v>119</v>
      </c>
      <c r="C56" t="s">
        <v>120</v>
      </c>
      <c r="D56" t="s">
        <v>12</v>
      </c>
      <c r="E56">
        <v>82.887675183454974</v>
      </c>
      <c r="F56">
        <v>93.714276866968035</v>
      </c>
      <c r="G56">
        <v>27.456141621356771</v>
      </c>
      <c r="H56">
        <v>86.135655688508891</v>
      </c>
      <c r="I56">
        <v>56.795898654932827</v>
      </c>
      <c r="J56">
        <v>95.922286752876801</v>
      </c>
      <c r="K56">
        <v>95.9</v>
      </c>
      <c r="L56" s="3">
        <v>5</v>
      </c>
      <c r="M56" t="s">
        <v>258</v>
      </c>
      <c r="O56">
        <f t="shared" si="0"/>
        <v>6</v>
      </c>
      <c r="P56">
        <v>14619</v>
      </c>
    </row>
    <row r="57" spans="1:16" x14ac:dyDescent="0.45">
      <c r="A57" s="6">
        <v>43617</v>
      </c>
      <c r="B57" t="s">
        <v>121</v>
      </c>
      <c r="C57" t="s">
        <v>122</v>
      </c>
      <c r="D57" t="s">
        <v>12</v>
      </c>
      <c r="E57">
        <v>85.417625504933298</v>
      </c>
      <c r="F57">
        <v>93.714276866968007</v>
      </c>
      <c r="G57">
        <v>27.456141621356771</v>
      </c>
      <c r="H57">
        <v>87.906620913543705</v>
      </c>
      <c r="I57">
        <v>57.681381267450234</v>
      </c>
      <c r="J57">
        <v>98.848870492109825</v>
      </c>
      <c r="K57">
        <v>98.8</v>
      </c>
      <c r="L57" s="3">
        <v>5</v>
      </c>
      <c r="M57" t="s">
        <v>265</v>
      </c>
      <c r="O57">
        <f t="shared" si="0"/>
        <v>6</v>
      </c>
      <c r="P57">
        <v>27427</v>
      </c>
    </row>
    <row r="58" spans="1:16" x14ac:dyDescent="0.45">
      <c r="A58" s="6">
        <v>43617</v>
      </c>
      <c r="B58" t="s">
        <v>123</v>
      </c>
      <c r="C58" t="s">
        <v>124</v>
      </c>
      <c r="D58" t="s">
        <v>9</v>
      </c>
      <c r="E58">
        <v>77.953274535560141</v>
      </c>
      <c r="F58">
        <v>93.714276866968035</v>
      </c>
      <c r="G58">
        <v>27.456141621356771</v>
      </c>
      <c r="H58">
        <v>82.681575234982503</v>
      </c>
      <c r="I58">
        <v>55.068858428169634</v>
      </c>
      <c r="J58">
        <v>90.214294553823763</v>
      </c>
      <c r="K58">
        <v>90.2</v>
      </c>
      <c r="L58" s="3">
        <v>5</v>
      </c>
      <c r="M58" t="s">
        <v>266</v>
      </c>
      <c r="O58">
        <f t="shared" si="0"/>
        <v>6</v>
      </c>
      <c r="P58">
        <v>4826</v>
      </c>
    </row>
    <row r="59" spans="1:16" x14ac:dyDescent="0.45">
      <c r="A59" s="6">
        <v>43617</v>
      </c>
      <c r="B59" t="s">
        <v>125</v>
      </c>
      <c r="C59" t="s">
        <v>126</v>
      </c>
      <c r="D59" t="s">
        <v>9</v>
      </c>
      <c r="E59">
        <v>77.887694936346307</v>
      </c>
      <c r="F59">
        <v>93.714276866968035</v>
      </c>
      <c r="G59">
        <v>27.456141621356771</v>
      </c>
      <c r="H59">
        <v>82.635669515532825</v>
      </c>
      <c r="I59">
        <v>55.045905568444795</v>
      </c>
      <c r="J59">
        <v>90.138433701120363</v>
      </c>
      <c r="K59">
        <v>90.1</v>
      </c>
      <c r="L59" s="3">
        <v>5</v>
      </c>
      <c r="M59" t="s">
        <v>264</v>
      </c>
      <c r="O59">
        <f t="shared" si="0"/>
        <v>6</v>
      </c>
      <c r="P59">
        <v>4494</v>
      </c>
    </row>
    <row r="60" spans="1:16" x14ac:dyDescent="0.45">
      <c r="A60" s="6">
        <v>43617</v>
      </c>
      <c r="B60" t="s">
        <v>127</v>
      </c>
      <c r="C60" t="s">
        <v>128</v>
      </c>
      <c r="D60" t="s">
        <v>21</v>
      </c>
      <c r="E60">
        <v>48.177776021965215</v>
      </c>
      <c r="F60">
        <v>93.714276866968035</v>
      </c>
      <c r="G60">
        <v>27.456141621356771</v>
      </c>
      <c r="H60">
        <v>61.838726275466058</v>
      </c>
      <c r="I60">
        <v>44.647433948411418</v>
      </c>
      <c r="J60">
        <v>55.770736892768355</v>
      </c>
      <c r="K60">
        <v>55.8</v>
      </c>
      <c r="L60" s="3">
        <v>3</v>
      </c>
      <c r="M60" t="s">
        <v>260</v>
      </c>
      <c r="O60">
        <f t="shared" si="0"/>
        <v>6</v>
      </c>
      <c r="P60">
        <v>900</v>
      </c>
    </row>
    <row r="61" spans="1:16" x14ac:dyDescent="0.45">
      <c r="A61" s="6">
        <v>43617</v>
      </c>
      <c r="B61" t="s">
        <v>129</v>
      </c>
      <c r="C61" t="s">
        <v>130</v>
      </c>
      <c r="D61" t="s">
        <v>21</v>
      </c>
      <c r="E61">
        <v>48.250466662057654</v>
      </c>
      <c r="F61">
        <v>93.714276866968035</v>
      </c>
      <c r="G61">
        <v>27.456141621356771</v>
      </c>
      <c r="H61">
        <v>61.889609723530768</v>
      </c>
      <c r="I61">
        <v>44.672875672443766</v>
      </c>
      <c r="J61">
        <v>55.854823621066096</v>
      </c>
      <c r="K61">
        <v>55.9</v>
      </c>
      <c r="L61" s="3">
        <v>3</v>
      </c>
      <c r="M61" t="s">
        <v>265</v>
      </c>
      <c r="O61">
        <f t="shared" si="0"/>
        <v>6</v>
      </c>
      <c r="P61" t="e">
        <v>#N/A</v>
      </c>
    </row>
    <row r="62" spans="1:16" x14ac:dyDescent="0.45">
      <c r="A62" s="6">
        <v>43617</v>
      </c>
      <c r="B62" t="s">
        <v>131</v>
      </c>
      <c r="C62" t="s">
        <v>132</v>
      </c>
      <c r="D62" t="s">
        <v>24</v>
      </c>
      <c r="E62">
        <v>72.760145578809102</v>
      </c>
      <c r="F62">
        <v>93.714276866968035</v>
      </c>
      <c r="G62">
        <v>27.456141621356771</v>
      </c>
      <c r="H62">
        <v>79.046384965256777</v>
      </c>
      <c r="I62">
        <v>53.251263293306778</v>
      </c>
      <c r="J62">
        <v>84.207011868649516</v>
      </c>
      <c r="K62">
        <v>84.2</v>
      </c>
      <c r="L62" s="3">
        <v>5</v>
      </c>
      <c r="M62" t="s">
        <v>260</v>
      </c>
      <c r="O62">
        <f t="shared" si="0"/>
        <v>6</v>
      </c>
      <c r="P62">
        <v>1317</v>
      </c>
    </row>
    <row r="63" spans="1:16" x14ac:dyDescent="0.45">
      <c r="A63" s="6">
        <v>43617</v>
      </c>
      <c r="B63" t="s">
        <v>133</v>
      </c>
      <c r="C63" t="s">
        <v>134</v>
      </c>
      <c r="D63" t="s">
        <v>24</v>
      </c>
      <c r="E63">
        <v>53.234610028542917</v>
      </c>
      <c r="F63">
        <v>93.714276866968035</v>
      </c>
      <c r="G63">
        <v>27.456141621356771</v>
      </c>
      <c r="H63">
        <v>65.378510080070456</v>
      </c>
      <c r="I63">
        <v>46.41732585071361</v>
      </c>
      <c r="J63">
        <v>61.620356962384307</v>
      </c>
      <c r="K63">
        <v>61.6</v>
      </c>
      <c r="L63" s="3">
        <v>4</v>
      </c>
      <c r="M63" t="s">
        <v>261</v>
      </c>
      <c r="O63">
        <f t="shared" si="0"/>
        <v>6</v>
      </c>
      <c r="P63">
        <v>3719</v>
      </c>
    </row>
    <row r="64" spans="1:16" x14ac:dyDescent="0.45">
      <c r="A64" s="6">
        <v>43617</v>
      </c>
      <c r="B64" t="s">
        <v>135</v>
      </c>
      <c r="C64" t="s">
        <v>136</v>
      </c>
      <c r="D64" t="s">
        <v>24</v>
      </c>
      <c r="E64">
        <v>53.356090310219152</v>
      </c>
      <c r="F64">
        <v>93.714276866968035</v>
      </c>
      <c r="G64">
        <v>27.456141621356771</v>
      </c>
      <c r="H64">
        <v>65.463546277243822</v>
      </c>
      <c r="I64">
        <v>46.459843949300293</v>
      </c>
      <c r="J64">
        <v>61.760882337121068</v>
      </c>
      <c r="K64">
        <v>61.8</v>
      </c>
      <c r="L64" s="3">
        <v>4</v>
      </c>
      <c r="M64" t="s">
        <v>265</v>
      </c>
      <c r="O64">
        <f t="shared" si="0"/>
        <v>6</v>
      </c>
      <c r="P64">
        <v>4334</v>
      </c>
    </row>
    <row r="65" spans="1:16" x14ac:dyDescent="0.45">
      <c r="A65" s="6">
        <v>43617</v>
      </c>
      <c r="B65" t="s">
        <v>137</v>
      </c>
      <c r="C65" t="s">
        <v>138</v>
      </c>
      <c r="D65" t="s">
        <v>24</v>
      </c>
      <c r="E65">
        <v>73.545323009155467</v>
      </c>
      <c r="F65">
        <v>93.714276866968035</v>
      </c>
      <c r="G65">
        <v>27.456141621356771</v>
      </c>
      <c r="H65">
        <v>79.596009166499229</v>
      </c>
      <c r="I65">
        <v>53.526075393927997</v>
      </c>
      <c r="J65">
        <v>85.115285632191899</v>
      </c>
      <c r="K65">
        <v>85.1</v>
      </c>
      <c r="L65" s="3">
        <v>5</v>
      </c>
      <c r="M65" t="s">
        <v>265</v>
      </c>
      <c r="O65">
        <f t="shared" si="0"/>
        <v>6</v>
      </c>
      <c r="P65">
        <v>5292</v>
      </c>
    </row>
    <row r="66" spans="1:16" x14ac:dyDescent="0.45">
      <c r="A66" s="6">
        <v>43647</v>
      </c>
      <c r="B66" t="s">
        <v>139</v>
      </c>
      <c r="C66" t="s">
        <v>140</v>
      </c>
      <c r="D66" t="s">
        <v>12</v>
      </c>
      <c r="E66">
        <v>80</v>
      </c>
      <c r="F66">
        <v>63.30477496111385</v>
      </c>
      <c r="G66">
        <v>27.484555940786759</v>
      </c>
      <c r="H66">
        <v>74.991432488334155</v>
      </c>
      <c r="I66">
        <v>51.237994214560459</v>
      </c>
      <c r="J66">
        <v>77.553012721440084</v>
      </c>
      <c r="K66">
        <v>77.599999999999994</v>
      </c>
      <c r="L66" s="3">
        <v>4</v>
      </c>
      <c r="M66" t="s">
        <v>260</v>
      </c>
      <c r="O66">
        <f t="shared" si="0"/>
        <v>7</v>
      </c>
      <c r="P66">
        <v>101251</v>
      </c>
    </row>
    <row r="67" spans="1:16" x14ac:dyDescent="0.45">
      <c r="A67" s="6">
        <v>43647</v>
      </c>
      <c r="B67" t="s">
        <v>141</v>
      </c>
      <c r="C67" t="s">
        <v>142</v>
      </c>
      <c r="D67" t="s">
        <v>12</v>
      </c>
      <c r="E67">
        <v>97.558740160591</v>
      </c>
      <c r="F67">
        <v>63.30477496111385</v>
      </c>
      <c r="G67">
        <v>27.484555940786759</v>
      </c>
      <c r="H67">
        <v>87.282550600747854</v>
      </c>
      <c r="I67">
        <v>57.383553270767308</v>
      </c>
      <c r="J67">
        <v>97.864527536235613</v>
      </c>
      <c r="K67">
        <v>97.9</v>
      </c>
      <c r="L67" s="3">
        <v>5</v>
      </c>
      <c r="M67" t="s">
        <v>260</v>
      </c>
      <c r="O67">
        <f t="shared" ref="O67:O124" si="1">MONTH(A67)</f>
        <v>7</v>
      </c>
      <c r="P67">
        <v>88892</v>
      </c>
    </row>
    <row r="68" spans="1:16" x14ac:dyDescent="0.45">
      <c r="A68" s="6">
        <v>43647</v>
      </c>
      <c r="B68" t="s">
        <v>143</v>
      </c>
      <c r="C68" t="s">
        <v>144</v>
      </c>
      <c r="D68" t="s">
        <v>9</v>
      </c>
      <c r="E68">
        <v>77.557624122230891</v>
      </c>
      <c r="F68">
        <v>63.30477496111385</v>
      </c>
      <c r="G68">
        <v>27.484555940786759</v>
      </c>
      <c r="H68">
        <v>73.28176937389577</v>
      </c>
      <c r="I68">
        <v>50.383162657341266</v>
      </c>
      <c r="J68">
        <v>74.727732925116868</v>
      </c>
      <c r="K68">
        <v>74.7</v>
      </c>
      <c r="L68" s="3">
        <v>4</v>
      </c>
      <c r="M68" t="s">
        <v>260</v>
      </c>
      <c r="O68">
        <f t="shared" si="1"/>
        <v>7</v>
      </c>
      <c r="P68">
        <v>2823</v>
      </c>
    </row>
    <row r="69" spans="1:16" x14ac:dyDescent="0.45">
      <c r="A69" s="6">
        <v>43647</v>
      </c>
      <c r="B69" t="s">
        <v>145</v>
      </c>
      <c r="C69" t="s">
        <v>146</v>
      </c>
      <c r="D69" t="s">
        <v>24</v>
      </c>
      <c r="E69">
        <v>66.109124848149634</v>
      </c>
      <c r="F69">
        <v>63.30477496111385</v>
      </c>
      <c r="G69">
        <v>27.484555940786759</v>
      </c>
      <c r="H69">
        <v>65.267819882038893</v>
      </c>
      <c r="I69">
        <v>46.376187911412828</v>
      </c>
      <c r="J69">
        <v>61.484393113381167</v>
      </c>
      <c r="K69">
        <v>61.5</v>
      </c>
      <c r="L69" s="3">
        <v>4</v>
      </c>
      <c r="M69" t="s">
        <v>264</v>
      </c>
      <c r="O69">
        <f t="shared" si="1"/>
        <v>7</v>
      </c>
      <c r="P69">
        <v>5615</v>
      </c>
    </row>
    <row r="70" spans="1:16" x14ac:dyDescent="0.45">
      <c r="A70" s="6">
        <v>43647</v>
      </c>
      <c r="B70" t="s">
        <v>147</v>
      </c>
      <c r="C70" t="s">
        <v>148</v>
      </c>
      <c r="D70" t="s">
        <v>24</v>
      </c>
      <c r="E70">
        <v>53.348781740427242</v>
      </c>
      <c r="F70">
        <v>63.30477496111385</v>
      </c>
      <c r="G70">
        <v>27.484555940786759</v>
      </c>
      <c r="H70">
        <v>56.335579706633219</v>
      </c>
      <c r="I70">
        <v>41.910067823709987</v>
      </c>
      <c r="J70">
        <v>46.723544914483163</v>
      </c>
      <c r="K70">
        <v>46.7</v>
      </c>
      <c r="L70" s="3">
        <v>3</v>
      </c>
      <c r="M70" t="s">
        <v>258</v>
      </c>
      <c r="O70">
        <f t="shared" si="1"/>
        <v>7</v>
      </c>
      <c r="P70">
        <v>4297</v>
      </c>
    </row>
    <row r="71" spans="1:16" x14ac:dyDescent="0.45">
      <c r="A71" s="6">
        <v>43647</v>
      </c>
      <c r="B71" t="s">
        <v>149</v>
      </c>
      <c r="C71" t="s">
        <v>150</v>
      </c>
      <c r="D71" t="s">
        <v>24</v>
      </c>
      <c r="E71">
        <v>53.316979585386804</v>
      </c>
      <c r="F71">
        <v>63.30477496111385</v>
      </c>
      <c r="G71">
        <v>27.484555940786759</v>
      </c>
      <c r="H71">
        <v>56.313318198104916</v>
      </c>
      <c r="I71">
        <v>41.898937069445836</v>
      </c>
      <c r="J71">
        <v>46.686756970852905</v>
      </c>
      <c r="K71">
        <v>46.7</v>
      </c>
      <c r="L71" s="3">
        <v>3</v>
      </c>
      <c r="M71" t="s">
        <v>263</v>
      </c>
      <c r="O71">
        <f t="shared" si="1"/>
        <v>7</v>
      </c>
      <c r="P71">
        <v>4136</v>
      </c>
    </row>
    <row r="72" spans="1:16" x14ac:dyDescent="0.45">
      <c r="A72" s="6">
        <v>43647</v>
      </c>
      <c r="B72" t="s">
        <v>151</v>
      </c>
      <c r="C72" t="s">
        <v>152</v>
      </c>
      <c r="D72" t="s">
        <v>24</v>
      </c>
      <c r="E72">
        <v>72.961625070369678</v>
      </c>
      <c r="F72">
        <v>63.30477496111385</v>
      </c>
      <c r="G72">
        <v>27.484555940786759</v>
      </c>
      <c r="H72">
        <v>70.064570037592929</v>
      </c>
      <c r="I72">
        <v>48.774562989189846</v>
      </c>
      <c r="J72">
        <v>69.411195293323416</v>
      </c>
      <c r="K72">
        <v>69.400000000000006</v>
      </c>
      <c r="L72" s="3">
        <v>4</v>
      </c>
      <c r="M72" t="s">
        <v>258</v>
      </c>
      <c r="O72">
        <f t="shared" si="1"/>
        <v>7</v>
      </c>
      <c r="P72">
        <v>2337</v>
      </c>
    </row>
    <row r="73" spans="1:16" x14ac:dyDescent="0.45">
      <c r="A73" s="6">
        <v>43647</v>
      </c>
      <c r="B73" t="s">
        <v>153</v>
      </c>
      <c r="C73" t="s">
        <v>154</v>
      </c>
      <c r="D73" t="s">
        <v>24</v>
      </c>
      <c r="E73">
        <v>65.739548251375297</v>
      </c>
      <c r="F73">
        <v>63.30477496111385</v>
      </c>
      <c r="G73">
        <v>27.484555940786759</v>
      </c>
      <c r="H73">
        <v>65.009116264296864</v>
      </c>
      <c r="I73">
        <v>46.246836102541813</v>
      </c>
      <c r="J73">
        <v>61.056876079019474</v>
      </c>
      <c r="K73">
        <v>61.1</v>
      </c>
      <c r="L73" s="3">
        <v>4</v>
      </c>
      <c r="M73" t="s">
        <v>258</v>
      </c>
      <c r="O73">
        <f t="shared" si="1"/>
        <v>7</v>
      </c>
      <c r="P73">
        <v>3744</v>
      </c>
    </row>
    <row r="74" spans="1:16" x14ac:dyDescent="0.45">
      <c r="A74" s="6">
        <v>43678</v>
      </c>
      <c r="B74" t="s">
        <v>155</v>
      </c>
      <c r="C74" t="s">
        <v>156</v>
      </c>
      <c r="D74" t="s">
        <v>12</v>
      </c>
      <c r="E74">
        <v>83.455965867003783</v>
      </c>
      <c r="F74">
        <v>65.638754788660762</v>
      </c>
      <c r="G74">
        <v>27.165410491674432</v>
      </c>
      <c r="H74">
        <v>78.110802543500881</v>
      </c>
      <c r="I74">
        <v>52.638106517587659</v>
      </c>
      <c r="J74">
        <v>82.180484612153165</v>
      </c>
      <c r="K74">
        <v>82.2</v>
      </c>
      <c r="L74" s="3">
        <v>5</v>
      </c>
      <c r="M74" t="s">
        <v>266</v>
      </c>
      <c r="O74">
        <f t="shared" si="1"/>
        <v>8</v>
      </c>
      <c r="P74">
        <v>17496</v>
      </c>
    </row>
    <row r="75" spans="1:16" x14ac:dyDescent="0.45">
      <c r="A75" s="6">
        <v>43678</v>
      </c>
      <c r="B75" t="s">
        <v>157</v>
      </c>
      <c r="C75" t="s">
        <v>158</v>
      </c>
      <c r="D75" t="s">
        <v>12</v>
      </c>
      <c r="E75">
        <v>80.82962143583768</v>
      </c>
      <c r="F75">
        <v>65.638754788660762</v>
      </c>
      <c r="G75">
        <v>27.165410491674432</v>
      </c>
      <c r="H75">
        <v>76.272361441684609</v>
      </c>
      <c r="I75">
        <v>51.718885966679522</v>
      </c>
      <c r="J75">
        <v>79.142394559307917</v>
      </c>
      <c r="K75">
        <v>79.099999999999994</v>
      </c>
      <c r="L75" s="3">
        <v>4</v>
      </c>
      <c r="M75" t="s">
        <v>258</v>
      </c>
      <c r="O75">
        <f t="shared" si="1"/>
        <v>8</v>
      </c>
      <c r="P75">
        <v>4200</v>
      </c>
    </row>
    <row r="76" spans="1:16" x14ac:dyDescent="0.45">
      <c r="A76" s="6">
        <v>43678</v>
      </c>
      <c r="B76" t="s">
        <v>159</v>
      </c>
      <c r="C76" t="s">
        <v>160</v>
      </c>
      <c r="D76" t="s">
        <v>12</v>
      </c>
      <c r="E76">
        <v>80.8396954104157</v>
      </c>
      <c r="F76">
        <v>65.638754788660762</v>
      </c>
      <c r="G76">
        <v>27.165410491674432</v>
      </c>
      <c r="H76">
        <v>76.279413223889208</v>
      </c>
      <c r="I76">
        <v>51.722411857781822</v>
      </c>
      <c r="J76">
        <v>79.154047883066539</v>
      </c>
      <c r="K76">
        <v>79.2</v>
      </c>
      <c r="L76" s="3">
        <v>4</v>
      </c>
      <c r="M76" t="s">
        <v>258</v>
      </c>
      <c r="O76">
        <f t="shared" si="1"/>
        <v>8</v>
      </c>
      <c r="P76">
        <v>4251</v>
      </c>
    </row>
    <row r="77" spans="1:16" x14ac:dyDescent="0.45">
      <c r="A77" s="6">
        <v>43678</v>
      </c>
      <c r="B77" t="s">
        <v>161</v>
      </c>
      <c r="C77" t="s">
        <v>162</v>
      </c>
      <c r="D77" t="s">
        <v>9</v>
      </c>
      <c r="E77">
        <v>70.999441980819938</v>
      </c>
      <c r="F77">
        <v>65.638754788660762</v>
      </c>
      <c r="G77">
        <v>27.165410491674432</v>
      </c>
      <c r="H77">
        <v>69.391235823172181</v>
      </c>
      <c r="I77">
        <v>48.278323157423308</v>
      </c>
      <c r="J77">
        <v>67.771086948023608</v>
      </c>
      <c r="K77">
        <v>67.8</v>
      </c>
      <c r="L77" s="3">
        <v>4</v>
      </c>
      <c r="M77" t="s">
        <v>258</v>
      </c>
      <c r="O77">
        <f t="shared" si="1"/>
        <v>8</v>
      </c>
      <c r="P77">
        <v>7591</v>
      </c>
    </row>
    <row r="78" spans="1:16" x14ac:dyDescent="0.45">
      <c r="A78" s="6">
        <v>43678</v>
      </c>
      <c r="B78" t="s">
        <v>163</v>
      </c>
      <c r="C78" t="s">
        <v>160</v>
      </c>
      <c r="D78" t="s">
        <v>9</v>
      </c>
      <c r="E78">
        <v>77.8396954104157</v>
      </c>
      <c r="F78">
        <v>65.638754788660762</v>
      </c>
      <c r="G78">
        <v>27.165410491674432</v>
      </c>
      <c r="H78">
        <v>74.179413223889213</v>
      </c>
      <c r="I78">
        <v>50.672411857781825</v>
      </c>
      <c r="J78">
        <v>75.683722342220022</v>
      </c>
      <c r="K78">
        <v>75.7</v>
      </c>
      <c r="L78" s="3">
        <v>4</v>
      </c>
      <c r="M78" t="s">
        <v>258</v>
      </c>
      <c r="O78">
        <f t="shared" si="1"/>
        <v>8</v>
      </c>
      <c r="P78">
        <v>4251</v>
      </c>
    </row>
    <row r="79" spans="1:16" x14ac:dyDescent="0.45">
      <c r="A79" s="6">
        <v>43678</v>
      </c>
      <c r="B79" t="s">
        <v>164</v>
      </c>
      <c r="C79" t="s">
        <v>165</v>
      </c>
      <c r="D79" t="s">
        <v>21</v>
      </c>
      <c r="E79">
        <v>42.856248333349797</v>
      </c>
      <c r="F79">
        <v>65.638754788660762</v>
      </c>
      <c r="G79">
        <v>27.165410491674432</v>
      </c>
      <c r="H79">
        <v>49.691000269943082</v>
      </c>
      <c r="I79">
        <v>38.428205380808755</v>
      </c>
      <c r="J79">
        <v>35.215739042755132</v>
      </c>
      <c r="K79">
        <v>35.200000000000003</v>
      </c>
      <c r="L79" s="3">
        <v>2</v>
      </c>
      <c r="M79" t="s">
        <v>258</v>
      </c>
      <c r="O79">
        <f t="shared" si="1"/>
        <v>8</v>
      </c>
      <c r="P79">
        <v>24585</v>
      </c>
    </row>
    <row r="80" spans="1:16" x14ac:dyDescent="0.45">
      <c r="A80" s="6">
        <v>43678</v>
      </c>
      <c r="B80" t="s">
        <v>166</v>
      </c>
      <c r="C80" t="s">
        <v>167</v>
      </c>
      <c r="D80" t="s">
        <v>24</v>
      </c>
      <c r="E80">
        <v>73.57218694136354</v>
      </c>
      <c r="F80">
        <v>65.638754788660762</v>
      </c>
      <c r="G80">
        <v>27.165410491674432</v>
      </c>
      <c r="H80">
        <v>71.192157295552704</v>
      </c>
      <c r="I80">
        <v>49.17878389361357</v>
      </c>
      <c r="J80">
        <v>70.747174463576485</v>
      </c>
      <c r="K80">
        <v>70.7</v>
      </c>
      <c r="L80" s="3">
        <v>4</v>
      </c>
      <c r="M80" t="s">
        <v>262</v>
      </c>
      <c r="O80">
        <f t="shared" si="1"/>
        <v>8</v>
      </c>
      <c r="P80">
        <v>5428</v>
      </c>
    </row>
    <row r="81" spans="1:16" x14ac:dyDescent="0.45">
      <c r="A81" s="6">
        <v>43678</v>
      </c>
      <c r="B81" t="s">
        <v>168</v>
      </c>
      <c r="C81" t="s">
        <v>169</v>
      </c>
      <c r="D81" t="s">
        <v>24</v>
      </c>
      <c r="E81">
        <v>65.63801838994182</v>
      </c>
      <c r="F81">
        <v>65.638754788660762</v>
      </c>
      <c r="G81">
        <v>27.165410491674432</v>
      </c>
      <c r="H81">
        <v>65.638239309557491</v>
      </c>
      <c r="I81">
        <v>46.401824900615964</v>
      </c>
      <c r="J81">
        <v>61.56912520711645</v>
      </c>
      <c r="K81">
        <v>61.6</v>
      </c>
      <c r="L81" s="3">
        <v>4</v>
      </c>
      <c r="M81" t="s">
        <v>258</v>
      </c>
      <c r="O81">
        <f t="shared" si="1"/>
        <v>8</v>
      </c>
      <c r="P81">
        <v>3230</v>
      </c>
    </row>
    <row r="82" spans="1:16" x14ac:dyDescent="0.45">
      <c r="A82" s="6">
        <v>43678</v>
      </c>
      <c r="B82" t="s">
        <v>170</v>
      </c>
      <c r="C82" t="s">
        <v>171</v>
      </c>
      <c r="D82" t="s">
        <v>24</v>
      </c>
      <c r="E82">
        <v>72.974069391907236</v>
      </c>
      <c r="F82">
        <v>65.638754788660762</v>
      </c>
      <c r="G82">
        <v>27.165410491674432</v>
      </c>
      <c r="H82">
        <v>70.773475010933282</v>
      </c>
      <c r="I82">
        <v>48.969442751303859</v>
      </c>
      <c r="J82">
        <v>70.055286927474242</v>
      </c>
      <c r="K82">
        <v>70.099999999999994</v>
      </c>
      <c r="L82" s="3">
        <v>4</v>
      </c>
      <c r="M82" t="s">
        <v>258</v>
      </c>
      <c r="O82">
        <f t="shared" si="1"/>
        <v>8</v>
      </c>
      <c r="P82">
        <v>2400</v>
      </c>
    </row>
    <row r="83" spans="1:16" x14ac:dyDescent="0.45">
      <c r="A83" s="6">
        <v>43678</v>
      </c>
      <c r="B83" t="s">
        <v>172</v>
      </c>
      <c r="C83" t="s">
        <v>173</v>
      </c>
      <c r="D83" t="s">
        <v>24</v>
      </c>
      <c r="E83">
        <v>73.3396954104157</v>
      </c>
      <c r="F83">
        <v>65.638754788660762</v>
      </c>
      <c r="G83">
        <v>27.165410491674432</v>
      </c>
      <c r="H83">
        <v>71.029413223889208</v>
      </c>
      <c r="I83">
        <v>49.097411857781822</v>
      </c>
      <c r="J83">
        <v>70.478234030950219</v>
      </c>
      <c r="K83">
        <v>70.5</v>
      </c>
      <c r="L83" s="3">
        <v>4</v>
      </c>
      <c r="M83" t="s">
        <v>258</v>
      </c>
      <c r="O83">
        <f t="shared" si="1"/>
        <v>8</v>
      </c>
      <c r="P83">
        <v>4251</v>
      </c>
    </row>
    <row r="84" spans="1:16" x14ac:dyDescent="0.45">
      <c r="A84" s="6">
        <v>43709</v>
      </c>
      <c r="B84" t="s">
        <v>174</v>
      </c>
      <c r="C84" t="s">
        <v>175</v>
      </c>
      <c r="D84" t="s">
        <v>12</v>
      </c>
      <c r="E84">
        <v>86.714600349626181</v>
      </c>
      <c r="F84">
        <v>65.824747615899383</v>
      </c>
      <c r="G84">
        <v>27.07713010523306</v>
      </c>
      <c r="H84">
        <v>80.447644529508139</v>
      </c>
      <c r="I84">
        <v>53.762387317370596</v>
      </c>
      <c r="J84">
        <v>85.896313540315163</v>
      </c>
      <c r="K84">
        <v>85.9</v>
      </c>
      <c r="L84" s="3">
        <v>5</v>
      </c>
      <c r="M84" t="s">
        <v>264</v>
      </c>
      <c r="O84">
        <f t="shared" si="1"/>
        <v>9</v>
      </c>
      <c r="P84">
        <v>33993</v>
      </c>
    </row>
    <row r="85" spans="1:16" x14ac:dyDescent="0.45">
      <c r="A85" s="6">
        <v>43709</v>
      </c>
      <c r="B85" t="s">
        <v>176</v>
      </c>
      <c r="C85" t="s">
        <v>177</v>
      </c>
      <c r="D85" t="s">
        <v>12</v>
      </c>
      <c r="E85">
        <v>74.195983249548149</v>
      </c>
      <c r="F85">
        <v>65.824747615899383</v>
      </c>
      <c r="G85">
        <v>27.07713010523306</v>
      </c>
      <c r="H85">
        <v>71.684612559453512</v>
      </c>
      <c r="I85">
        <v>49.38087133234329</v>
      </c>
      <c r="J85">
        <v>71.415087987488874</v>
      </c>
      <c r="K85">
        <v>71.400000000000006</v>
      </c>
      <c r="L85" s="3">
        <v>4</v>
      </c>
      <c r="M85" t="s">
        <v>266</v>
      </c>
      <c r="O85">
        <f t="shared" si="1"/>
        <v>9</v>
      </c>
      <c r="P85">
        <v>8586</v>
      </c>
    </row>
    <row r="86" spans="1:16" x14ac:dyDescent="0.45">
      <c r="A86" s="6">
        <v>43709</v>
      </c>
      <c r="B86" t="s">
        <v>178</v>
      </c>
      <c r="C86" t="s">
        <v>179</v>
      </c>
      <c r="D86" t="s">
        <v>12</v>
      </c>
      <c r="E86">
        <v>51.233765592438594</v>
      </c>
      <c r="F86">
        <v>65.824747615899383</v>
      </c>
      <c r="G86">
        <v>27.07713010523306</v>
      </c>
      <c r="H86">
        <v>55.611060199476825</v>
      </c>
      <c r="I86">
        <v>41.344095152354939</v>
      </c>
      <c r="J86">
        <v>44.852964517507388</v>
      </c>
      <c r="K86">
        <v>44.9</v>
      </c>
      <c r="L86" s="3">
        <v>3</v>
      </c>
      <c r="M86" t="s">
        <v>264</v>
      </c>
      <c r="O86">
        <f t="shared" si="1"/>
        <v>9</v>
      </c>
      <c r="P86">
        <v>6246</v>
      </c>
    </row>
    <row r="87" spans="1:16" x14ac:dyDescent="0.45">
      <c r="A87" s="6">
        <v>43709</v>
      </c>
      <c r="B87" t="s">
        <v>180</v>
      </c>
      <c r="C87" t="s">
        <v>181</v>
      </c>
      <c r="D87" t="s">
        <v>12</v>
      </c>
      <c r="E87">
        <v>73.504039466276865</v>
      </c>
      <c r="F87">
        <v>65.824747615899383</v>
      </c>
      <c r="G87">
        <v>27.07713010523306</v>
      </c>
      <c r="H87">
        <v>71.200251911163619</v>
      </c>
      <c r="I87">
        <v>49.138691008198336</v>
      </c>
      <c r="J87">
        <v>70.61466459285009</v>
      </c>
      <c r="K87">
        <v>70.599999999999994</v>
      </c>
      <c r="L87" s="3">
        <v>4</v>
      </c>
      <c r="M87" t="s">
        <v>264</v>
      </c>
      <c r="O87">
        <f t="shared" si="1"/>
        <v>9</v>
      </c>
      <c r="P87">
        <v>5083</v>
      </c>
    </row>
    <row r="88" spans="1:16" x14ac:dyDescent="0.45">
      <c r="A88" s="6">
        <v>43709</v>
      </c>
      <c r="B88" t="s">
        <v>182</v>
      </c>
      <c r="C88" t="s">
        <v>183</v>
      </c>
      <c r="D88" t="s">
        <v>12</v>
      </c>
      <c r="E88">
        <v>76.875858016217123</v>
      </c>
      <c r="F88">
        <v>65.824747615899383</v>
      </c>
      <c r="G88">
        <v>27.07713010523306</v>
      </c>
      <c r="H88">
        <v>73.560524896121791</v>
      </c>
      <c r="I88">
        <v>50.318827500677429</v>
      </c>
      <c r="J88">
        <v>74.515100603836032</v>
      </c>
      <c r="K88">
        <v>74.5</v>
      </c>
      <c r="L88" s="3">
        <v>4</v>
      </c>
      <c r="M88" t="s">
        <v>262</v>
      </c>
      <c r="O88">
        <f t="shared" si="1"/>
        <v>9</v>
      </c>
      <c r="P88">
        <v>22153</v>
      </c>
    </row>
    <row r="89" spans="1:16" x14ac:dyDescent="0.45">
      <c r="A89" s="6">
        <v>43709</v>
      </c>
      <c r="B89" t="s">
        <v>184</v>
      </c>
      <c r="C89" t="s">
        <v>185</v>
      </c>
      <c r="D89" t="s">
        <v>9</v>
      </c>
      <c r="E89">
        <v>37.584290525525674</v>
      </c>
      <c r="F89">
        <v>65.824747615899383</v>
      </c>
      <c r="G89">
        <v>27.07713010523306</v>
      </c>
      <c r="H89">
        <v>46.05642765263778</v>
      </c>
      <c r="I89">
        <v>36.566778878935423</v>
      </c>
      <c r="J89">
        <v>29.063590536222154</v>
      </c>
      <c r="K89">
        <v>29.1</v>
      </c>
      <c r="L89" s="3">
        <v>2</v>
      </c>
      <c r="M89" t="s">
        <v>258</v>
      </c>
      <c r="O89">
        <f t="shared" si="1"/>
        <v>9</v>
      </c>
      <c r="P89">
        <v>2958</v>
      </c>
    </row>
    <row r="90" spans="1:16" x14ac:dyDescent="0.45">
      <c r="A90" s="6">
        <v>43709</v>
      </c>
      <c r="B90" t="s">
        <v>186</v>
      </c>
      <c r="C90" t="s">
        <v>187</v>
      </c>
      <c r="D90" t="s">
        <v>21</v>
      </c>
      <c r="E90">
        <v>39.986745809917927</v>
      </c>
      <c r="F90">
        <v>65.824747615899383</v>
      </c>
      <c r="G90">
        <v>27.07713010523306</v>
      </c>
      <c r="H90">
        <v>47.738146351712359</v>
      </c>
      <c r="I90">
        <v>37.407638228472706</v>
      </c>
      <c r="J90">
        <v>31.842691180944847</v>
      </c>
      <c r="K90">
        <v>31.8</v>
      </c>
      <c r="L90" s="3">
        <v>2</v>
      </c>
      <c r="M90" t="s">
        <v>263</v>
      </c>
      <c r="O90">
        <f t="shared" si="1"/>
        <v>9</v>
      </c>
      <c r="P90">
        <v>10058</v>
      </c>
    </row>
    <row r="91" spans="1:16" x14ac:dyDescent="0.45">
      <c r="A91" s="6">
        <v>43709</v>
      </c>
      <c r="B91" t="s">
        <v>188</v>
      </c>
      <c r="C91" t="s">
        <v>189</v>
      </c>
      <c r="D91" t="s">
        <v>24</v>
      </c>
      <c r="E91">
        <v>66.143297350149624</v>
      </c>
      <c r="F91">
        <v>65.824747615899383</v>
      </c>
      <c r="G91">
        <v>27.07713010523306</v>
      </c>
      <c r="H91">
        <v>66.047732429874543</v>
      </c>
      <c r="I91">
        <v>46.562431267553805</v>
      </c>
      <c r="J91">
        <v>62.099940804456409</v>
      </c>
      <c r="K91">
        <v>62.1</v>
      </c>
      <c r="L91" s="3">
        <v>4</v>
      </c>
      <c r="M91" t="s">
        <v>263</v>
      </c>
      <c r="O91">
        <f t="shared" si="1"/>
        <v>9</v>
      </c>
      <c r="P91">
        <v>5788</v>
      </c>
    </row>
    <row r="92" spans="1:16" x14ac:dyDescent="0.45">
      <c r="A92" s="6">
        <v>43709</v>
      </c>
      <c r="B92" t="s">
        <v>190</v>
      </c>
      <c r="C92" t="s">
        <v>191</v>
      </c>
      <c r="D92" t="s">
        <v>24</v>
      </c>
      <c r="E92">
        <v>65.833176956276958</v>
      </c>
      <c r="F92">
        <v>65.824747615899383</v>
      </c>
      <c r="G92">
        <v>27.07713010523306</v>
      </c>
      <c r="H92">
        <v>65.830648154163683</v>
      </c>
      <c r="I92">
        <v>46.453889129698368</v>
      </c>
      <c r="J92">
        <v>61.741201229925167</v>
      </c>
      <c r="K92">
        <v>61.7</v>
      </c>
      <c r="L92" s="3">
        <v>4</v>
      </c>
      <c r="M92" t="s">
        <v>258</v>
      </c>
      <c r="O92">
        <f t="shared" si="1"/>
        <v>9</v>
      </c>
      <c r="P92">
        <v>4218</v>
      </c>
    </row>
    <row r="93" spans="1:16" x14ac:dyDescent="0.45">
      <c r="A93" s="6">
        <v>43709</v>
      </c>
      <c r="B93" t="s">
        <v>192</v>
      </c>
      <c r="C93" t="s">
        <v>193</v>
      </c>
      <c r="D93" t="s">
        <v>24</v>
      </c>
      <c r="E93">
        <v>73.02443926479738</v>
      </c>
      <c r="F93">
        <v>65.824747615899383</v>
      </c>
      <c r="G93">
        <v>27.07713010523306</v>
      </c>
      <c r="H93">
        <v>70.864531770127968</v>
      </c>
      <c r="I93">
        <v>48.970830937680518</v>
      </c>
      <c r="J93">
        <v>70.059874983320299</v>
      </c>
      <c r="K93">
        <v>70.099999999999994</v>
      </c>
      <c r="L93" s="3">
        <v>4</v>
      </c>
      <c r="M93" t="s">
        <v>261</v>
      </c>
      <c r="O93">
        <f t="shared" si="1"/>
        <v>9</v>
      </c>
      <c r="P93">
        <v>2655</v>
      </c>
    </row>
    <row r="94" spans="1:16" x14ac:dyDescent="0.45">
      <c r="A94" s="6">
        <v>43709</v>
      </c>
      <c r="B94" t="s">
        <v>194</v>
      </c>
      <c r="C94" t="s">
        <v>195</v>
      </c>
      <c r="D94" t="s">
        <v>24</v>
      </c>
      <c r="E94">
        <v>73.497125954311556</v>
      </c>
      <c r="F94">
        <v>65.824747615899383</v>
      </c>
      <c r="G94">
        <v>27.07713010523306</v>
      </c>
      <c r="H94">
        <v>71.195412452787906</v>
      </c>
      <c r="I94">
        <v>49.136271279010487</v>
      </c>
      <c r="J94">
        <v>70.606667213800065</v>
      </c>
      <c r="K94">
        <v>70.599999999999994</v>
      </c>
      <c r="L94" s="3">
        <v>4</v>
      </c>
      <c r="M94" t="s">
        <v>261</v>
      </c>
      <c r="O94">
        <f t="shared" si="1"/>
        <v>9</v>
      </c>
      <c r="P94">
        <v>5048</v>
      </c>
    </row>
    <row r="95" spans="1:16" x14ac:dyDescent="0.45">
      <c r="A95" s="6">
        <v>43709</v>
      </c>
      <c r="B95" t="s">
        <v>196</v>
      </c>
      <c r="C95" t="s">
        <v>197</v>
      </c>
      <c r="D95" t="s">
        <v>24</v>
      </c>
      <c r="E95">
        <v>33.680432785849021</v>
      </c>
      <c r="F95">
        <v>65.824747615899383</v>
      </c>
      <c r="G95">
        <v>27.07713010523306</v>
      </c>
      <c r="H95">
        <v>43.323727234864123</v>
      </c>
      <c r="I95">
        <v>35.200428670048595</v>
      </c>
      <c r="J95">
        <v>24.547704795611729</v>
      </c>
      <c r="K95">
        <v>24.5</v>
      </c>
      <c r="L95" s="3">
        <v>2</v>
      </c>
      <c r="M95" t="s">
        <v>258</v>
      </c>
      <c r="O95">
        <f t="shared" si="1"/>
        <v>9</v>
      </c>
      <c r="P95">
        <v>5976</v>
      </c>
    </row>
    <row r="96" spans="1:16" x14ac:dyDescent="0.45">
      <c r="A96" s="6">
        <v>43709</v>
      </c>
      <c r="B96" t="s">
        <v>198</v>
      </c>
      <c r="C96" t="s">
        <v>199</v>
      </c>
      <c r="D96" t="s">
        <v>24</v>
      </c>
      <c r="E96">
        <v>53.042019338080607</v>
      </c>
      <c r="F96">
        <v>65.824747615899383</v>
      </c>
      <c r="G96">
        <v>27.07713010523306</v>
      </c>
      <c r="H96">
        <v>56.876837821426236</v>
      </c>
      <c r="I96">
        <v>41.976983963329644</v>
      </c>
      <c r="J96">
        <v>46.944707570118354</v>
      </c>
      <c r="K96">
        <v>46.9</v>
      </c>
      <c r="L96" s="3">
        <v>3</v>
      </c>
      <c r="M96" t="s">
        <v>265</v>
      </c>
      <c r="O96">
        <f t="shared" si="1"/>
        <v>9</v>
      </c>
      <c r="P96">
        <v>2744</v>
      </c>
    </row>
    <row r="97" spans="1:16" x14ac:dyDescent="0.45">
      <c r="A97" s="6">
        <v>43739</v>
      </c>
      <c r="B97" t="s">
        <v>200</v>
      </c>
      <c r="C97" t="s">
        <v>201</v>
      </c>
      <c r="D97" t="s">
        <v>12</v>
      </c>
      <c r="E97">
        <v>83.266733168067475</v>
      </c>
      <c r="F97">
        <v>90.699974118183619</v>
      </c>
      <c r="G97">
        <v>27.500800024447891</v>
      </c>
      <c r="H97">
        <v>85.496705453102308</v>
      </c>
      <c r="I97">
        <v>56.498752738775096</v>
      </c>
      <c r="J97">
        <v>94.940198122209736</v>
      </c>
      <c r="K97">
        <v>94.9</v>
      </c>
      <c r="L97" s="3">
        <v>5</v>
      </c>
      <c r="M97" t="s">
        <v>265</v>
      </c>
      <c r="O97">
        <f t="shared" si="1"/>
        <v>10</v>
      </c>
      <c r="P97">
        <v>16538</v>
      </c>
    </row>
    <row r="98" spans="1:16" x14ac:dyDescent="0.45">
      <c r="A98" s="6">
        <v>43739</v>
      </c>
      <c r="B98" t="s">
        <v>202</v>
      </c>
      <c r="C98" t="s">
        <v>203</v>
      </c>
      <c r="D98" t="s">
        <v>12</v>
      </c>
      <c r="E98">
        <v>73.761617169213139</v>
      </c>
      <c r="F98">
        <v>90.699974118183619</v>
      </c>
      <c r="G98">
        <v>27.500800024447891</v>
      </c>
      <c r="H98">
        <v>78.843124253904278</v>
      </c>
      <c r="I98">
        <v>53.171962139176088</v>
      </c>
      <c r="J98">
        <v>83.944915849032057</v>
      </c>
      <c r="K98">
        <v>83.9</v>
      </c>
      <c r="L98" s="3">
        <v>5</v>
      </c>
      <c r="M98" t="s">
        <v>258</v>
      </c>
      <c r="O98">
        <f t="shared" si="1"/>
        <v>10</v>
      </c>
      <c r="P98">
        <v>6387</v>
      </c>
    </row>
    <row r="99" spans="1:16" x14ac:dyDescent="0.45">
      <c r="A99" s="6">
        <v>43739</v>
      </c>
      <c r="B99" t="s">
        <v>204</v>
      </c>
      <c r="C99" t="s">
        <v>205</v>
      </c>
      <c r="D99" t="s">
        <v>12</v>
      </c>
      <c r="E99">
        <v>82.67789947753603</v>
      </c>
      <c r="F99">
        <v>90.699974118183619</v>
      </c>
      <c r="G99">
        <v>27.500800024447891</v>
      </c>
      <c r="H99">
        <v>85.08452186973031</v>
      </c>
      <c r="I99">
        <v>56.292660947089104</v>
      </c>
      <c r="J99">
        <v>94.259049923689048</v>
      </c>
      <c r="K99">
        <v>94.3</v>
      </c>
      <c r="L99" s="3">
        <v>5</v>
      </c>
      <c r="M99" t="s">
        <v>266</v>
      </c>
      <c r="O99">
        <f t="shared" si="1"/>
        <v>10</v>
      </c>
      <c r="P99">
        <v>13557</v>
      </c>
    </row>
    <row r="100" spans="1:16" x14ac:dyDescent="0.45">
      <c r="A100" s="6">
        <v>43739</v>
      </c>
      <c r="B100" t="s">
        <v>206</v>
      </c>
      <c r="C100" t="s">
        <v>207</v>
      </c>
      <c r="D100" t="s">
        <v>24</v>
      </c>
      <c r="E100">
        <v>73.30117727232323</v>
      </c>
      <c r="F100">
        <v>90.699974118183619</v>
      </c>
      <c r="G100">
        <v>27.500800024447891</v>
      </c>
      <c r="H100">
        <v>78.520816326081345</v>
      </c>
      <c r="I100">
        <v>53.010808175264614</v>
      </c>
      <c r="J100">
        <v>83.412290404298105</v>
      </c>
      <c r="K100">
        <v>83.4</v>
      </c>
      <c r="L100" s="3">
        <v>5</v>
      </c>
      <c r="M100" t="s">
        <v>265</v>
      </c>
      <c r="O100">
        <f t="shared" si="1"/>
        <v>10</v>
      </c>
      <c r="P100">
        <v>4056</v>
      </c>
    </row>
    <row r="101" spans="1:16" x14ac:dyDescent="0.45">
      <c r="A101" s="6">
        <v>43770</v>
      </c>
      <c r="B101" t="s">
        <v>208</v>
      </c>
      <c r="C101" t="s">
        <v>209</v>
      </c>
      <c r="D101" t="s">
        <v>12</v>
      </c>
      <c r="E101">
        <v>82.240175405675004</v>
      </c>
      <c r="F101">
        <v>66.172025374789428</v>
      </c>
      <c r="G101">
        <v>26.794074638582003</v>
      </c>
      <c r="H101">
        <v>77.419730396409321</v>
      </c>
      <c r="I101">
        <v>52.106902517495662</v>
      </c>
      <c r="J101">
        <v>80.424817175087355</v>
      </c>
      <c r="K101">
        <v>80.400000000000006</v>
      </c>
      <c r="L101" s="3">
        <v>5</v>
      </c>
      <c r="M101" t="s">
        <v>265</v>
      </c>
      <c r="O101">
        <f t="shared" si="1"/>
        <v>11</v>
      </c>
      <c r="P101">
        <v>11341</v>
      </c>
    </row>
    <row r="102" spans="1:16" x14ac:dyDescent="0.45">
      <c r="A102" s="6">
        <v>43770</v>
      </c>
      <c r="B102" t="s">
        <v>210</v>
      </c>
      <c r="C102" t="s">
        <v>211</v>
      </c>
      <c r="D102" t="s">
        <v>12</v>
      </c>
      <c r="E102">
        <v>84.904840446020287</v>
      </c>
      <c r="F102">
        <v>66.172025374789428</v>
      </c>
      <c r="G102">
        <v>26.794074638582003</v>
      </c>
      <c r="H102">
        <v>79.284995924651028</v>
      </c>
      <c r="I102">
        <v>53.039535281616516</v>
      </c>
      <c r="J102">
        <v>83.50723555752441</v>
      </c>
      <c r="K102">
        <v>83.5</v>
      </c>
      <c r="L102" s="3">
        <v>5</v>
      </c>
      <c r="M102" t="s">
        <v>258</v>
      </c>
      <c r="O102">
        <f t="shared" si="1"/>
        <v>11</v>
      </c>
      <c r="P102">
        <v>24831</v>
      </c>
    </row>
    <row r="103" spans="1:16" x14ac:dyDescent="0.45">
      <c r="A103" s="6">
        <v>43770</v>
      </c>
      <c r="B103" t="s">
        <v>212</v>
      </c>
      <c r="C103" t="s">
        <v>213</v>
      </c>
      <c r="D103" t="s">
        <v>12</v>
      </c>
      <c r="E103">
        <v>85.303453793048973</v>
      </c>
      <c r="F103">
        <v>66.172025374789428</v>
      </c>
      <c r="G103">
        <v>26.794074638582003</v>
      </c>
      <c r="H103">
        <v>79.564025267571097</v>
      </c>
      <c r="I103">
        <v>53.17904995307655</v>
      </c>
      <c r="J103">
        <v>83.968341583896375</v>
      </c>
      <c r="K103">
        <v>84</v>
      </c>
      <c r="L103" s="3">
        <v>5</v>
      </c>
      <c r="M103" t="s">
        <v>266</v>
      </c>
      <c r="O103">
        <f t="shared" si="1"/>
        <v>11</v>
      </c>
      <c r="P103">
        <v>26849</v>
      </c>
    </row>
    <row r="104" spans="1:16" x14ac:dyDescent="0.45">
      <c r="A104" s="6">
        <v>43770</v>
      </c>
      <c r="B104" t="s">
        <v>214</v>
      </c>
      <c r="C104" t="s">
        <v>215</v>
      </c>
      <c r="D104" t="s">
        <v>24</v>
      </c>
      <c r="E104">
        <v>65.618265498612345</v>
      </c>
      <c r="F104">
        <v>66.172025374789428</v>
      </c>
      <c r="G104">
        <v>26.794074638582003</v>
      </c>
      <c r="H104">
        <v>65.78439346146547</v>
      </c>
      <c r="I104">
        <v>46.289234050023737</v>
      </c>
      <c r="J104">
        <v>61.197004345710894</v>
      </c>
      <c r="K104">
        <v>61.2</v>
      </c>
      <c r="L104" s="3">
        <v>4</v>
      </c>
      <c r="M104" t="s">
        <v>258</v>
      </c>
      <c r="O104">
        <f t="shared" si="1"/>
        <v>11</v>
      </c>
      <c r="P104">
        <v>3130</v>
      </c>
    </row>
    <row r="105" spans="1:16" x14ac:dyDescent="0.45">
      <c r="A105" s="6">
        <v>43770</v>
      </c>
      <c r="B105" t="s">
        <v>216</v>
      </c>
      <c r="C105" t="s">
        <v>217</v>
      </c>
      <c r="D105" t="s">
        <v>24</v>
      </c>
      <c r="E105">
        <v>52.780491056878439</v>
      </c>
      <c r="F105">
        <v>66.172025374789428</v>
      </c>
      <c r="G105">
        <v>26.794074638582003</v>
      </c>
      <c r="H105">
        <v>56.797951352251729</v>
      </c>
      <c r="I105">
        <v>41.796012995416866</v>
      </c>
      <c r="J105">
        <v>46.346585501452232</v>
      </c>
      <c r="K105">
        <v>46.3</v>
      </c>
      <c r="L105" s="3">
        <v>3</v>
      </c>
      <c r="M105" t="s">
        <v>261</v>
      </c>
      <c r="O105">
        <f t="shared" si="1"/>
        <v>11</v>
      </c>
      <c r="P105">
        <v>1420</v>
      </c>
    </row>
    <row r="106" spans="1:16" x14ac:dyDescent="0.45">
      <c r="A106" s="6">
        <v>43770</v>
      </c>
      <c r="B106" t="s">
        <v>218</v>
      </c>
      <c r="C106" t="s">
        <v>219</v>
      </c>
      <c r="D106" t="s">
        <v>24</v>
      </c>
      <c r="E106">
        <v>52.895057826589351</v>
      </c>
      <c r="F106">
        <v>66.172025374789428</v>
      </c>
      <c r="G106">
        <v>26.794074638582003</v>
      </c>
      <c r="H106">
        <v>56.878148091049368</v>
      </c>
      <c r="I106">
        <v>41.836111364815686</v>
      </c>
      <c r="J106">
        <v>46.479113497138918</v>
      </c>
      <c r="K106">
        <v>46.5</v>
      </c>
      <c r="L106" s="3">
        <v>3</v>
      </c>
      <c r="M106" t="s">
        <v>258</v>
      </c>
      <c r="O106">
        <f t="shared" si="1"/>
        <v>11</v>
      </c>
      <c r="P106">
        <v>2000</v>
      </c>
    </row>
    <row r="107" spans="1:16" x14ac:dyDescent="0.45">
      <c r="A107" s="6">
        <v>43770</v>
      </c>
      <c r="B107" t="s">
        <v>220</v>
      </c>
      <c r="C107" t="s">
        <v>221</v>
      </c>
      <c r="D107" t="s">
        <v>24</v>
      </c>
      <c r="E107">
        <v>53.096734847063232</v>
      </c>
      <c r="F107">
        <v>66.172025374789428</v>
      </c>
      <c r="G107">
        <v>26.794074638582003</v>
      </c>
      <c r="H107">
        <v>57.019322005381085</v>
      </c>
      <c r="I107">
        <v>41.906698321981544</v>
      </c>
      <c r="J107">
        <v>46.712408468856367</v>
      </c>
      <c r="K107">
        <v>46.7</v>
      </c>
      <c r="L107" s="3">
        <v>3</v>
      </c>
      <c r="M107" t="s">
        <v>258</v>
      </c>
      <c r="O107">
        <f t="shared" si="1"/>
        <v>11</v>
      </c>
      <c r="P107">
        <v>3021</v>
      </c>
    </row>
    <row r="108" spans="1:16" x14ac:dyDescent="0.45">
      <c r="A108" s="6">
        <v>43770</v>
      </c>
      <c r="B108" t="s">
        <v>222</v>
      </c>
      <c r="C108" t="s">
        <v>223</v>
      </c>
      <c r="D108" t="s">
        <v>24</v>
      </c>
      <c r="E108">
        <v>73.276881215987984</v>
      </c>
      <c r="F108">
        <v>66.172025374789428</v>
      </c>
      <c r="G108">
        <v>26.794074638582003</v>
      </c>
      <c r="H108">
        <v>71.145424463628416</v>
      </c>
      <c r="I108">
        <v>48.96974955110521</v>
      </c>
      <c r="J108">
        <v>70.056300922889989</v>
      </c>
      <c r="K108">
        <v>70.099999999999994</v>
      </c>
      <c r="L108" s="3">
        <v>4</v>
      </c>
      <c r="M108" t="s">
        <v>263</v>
      </c>
      <c r="O108">
        <f t="shared" si="1"/>
        <v>11</v>
      </c>
      <c r="P108">
        <v>3933</v>
      </c>
    </row>
    <row r="109" spans="1:16" x14ac:dyDescent="0.45">
      <c r="A109" s="6">
        <v>43800</v>
      </c>
      <c r="B109" t="s">
        <v>224</v>
      </c>
      <c r="C109" t="s">
        <v>225</v>
      </c>
      <c r="D109" t="s">
        <v>12</v>
      </c>
      <c r="E109">
        <v>62.870687696911631</v>
      </c>
      <c r="F109">
        <v>67.836402083667309</v>
      </c>
      <c r="G109">
        <v>26.937859919857903</v>
      </c>
      <c r="H109">
        <v>64.360402012938323</v>
      </c>
      <c r="I109">
        <v>45.649130966398111</v>
      </c>
      <c r="J109">
        <v>59.081417602967434</v>
      </c>
      <c r="K109">
        <v>59.1</v>
      </c>
      <c r="L109" s="3">
        <v>3</v>
      </c>
      <c r="M109" t="s">
        <v>263</v>
      </c>
      <c r="O109">
        <f t="shared" si="1"/>
        <v>12</v>
      </c>
      <c r="P109">
        <v>14533</v>
      </c>
    </row>
    <row r="110" spans="1:16" x14ac:dyDescent="0.45">
      <c r="A110" s="6">
        <v>43800</v>
      </c>
      <c r="B110" t="s">
        <v>226</v>
      </c>
      <c r="C110" t="s">
        <v>227</v>
      </c>
      <c r="D110" t="s">
        <v>12</v>
      </c>
      <c r="E110">
        <v>64.41812920366219</v>
      </c>
      <c r="F110">
        <v>67.836402083667309</v>
      </c>
      <c r="G110">
        <v>26.937859919857903</v>
      </c>
      <c r="H110">
        <v>65.443611067663724</v>
      </c>
      <c r="I110">
        <v>46.190735493760812</v>
      </c>
      <c r="J110">
        <v>60.871459530914947</v>
      </c>
      <c r="K110">
        <v>60.9</v>
      </c>
      <c r="L110" s="3">
        <v>4</v>
      </c>
      <c r="M110" t="s">
        <v>258</v>
      </c>
      <c r="O110">
        <f t="shared" si="1"/>
        <v>12</v>
      </c>
      <c r="P110">
        <v>22367</v>
      </c>
    </row>
    <row r="111" spans="1:16" x14ac:dyDescent="0.45">
      <c r="A111" s="6">
        <v>43800</v>
      </c>
      <c r="B111" t="s">
        <v>228</v>
      </c>
      <c r="C111" t="s">
        <v>229</v>
      </c>
      <c r="D111" t="s">
        <v>12</v>
      </c>
      <c r="E111">
        <v>89.112601357023635</v>
      </c>
      <c r="F111">
        <v>67.836402083667309</v>
      </c>
      <c r="G111">
        <v>26.937859919857903</v>
      </c>
      <c r="H111">
        <v>82.729741575016732</v>
      </c>
      <c r="I111">
        <v>54.833800747437316</v>
      </c>
      <c r="J111">
        <v>89.437412008092792</v>
      </c>
      <c r="K111">
        <v>89.4</v>
      </c>
      <c r="L111" s="3">
        <v>5</v>
      </c>
      <c r="M111" t="s">
        <v>258</v>
      </c>
      <c r="O111">
        <f t="shared" si="1"/>
        <v>12</v>
      </c>
      <c r="P111">
        <v>46133</v>
      </c>
    </row>
    <row r="112" spans="1:16" x14ac:dyDescent="0.45">
      <c r="A112" s="6">
        <v>43800</v>
      </c>
      <c r="B112" t="s">
        <v>230</v>
      </c>
      <c r="C112" t="s">
        <v>231</v>
      </c>
      <c r="D112" t="s">
        <v>12</v>
      </c>
      <c r="E112">
        <v>88.719716348480517</v>
      </c>
      <c r="F112">
        <v>67.836402083667309</v>
      </c>
      <c r="G112">
        <v>26.937859919857903</v>
      </c>
      <c r="H112">
        <v>82.454722069036549</v>
      </c>
      <c r="I112">
        <v>54.696290994447224</v>
      </c>
      <c r="J112">
        <v>88.982932381505179</v>
      </c>
      <c r="K112">
        <v>89</v>
      </c>
      <c r="L112" s="3">
        <v>5</v>
      </c>
      <c r="M112" t="s">
        <v>264</v>
      </c>
      <c r="O112">
        <f t="shared" si="1"/>
        <v>12</v>
      </c>
      <c r="P112">
        <v>44144</v>
      </c>
    </row>
    <row r="113" spans="1:16" x14ac:dyDescent="0.45">
      <c r="A113" s="6">
        <v>43800</v>
      </c>
      <c r="B113" t="s">
        <v>232</v>
      </c>
      <c r="C113" t="s">
        <v>233</v>
      </c>
      <c r="D113" t="s">
        <v>9</v>
      </c>
      <c r="E113">
        <v>70.594112650739262</v>
      </c>
      <c r="F113">
        <v>67.836402083667309</v>
      </c>
      <c r="G113">
        <v>26.937859919857903</v>
      </c>
      <c r="H113">
        <v>69.766799480617678</v>
      </c>
      <c r="I113">
        <v>48.352329700237789</v>
      </c>
      <c r="J113">
        <v>68.015683896327275</v>
      </c>
      <c r="K113">
        <v>68</v>
      </c>
      <c r="L113" s="3">
        <v>4</v>
      </c>
      <c r="M113" t="s">
        <v>265</v>
      </c>
      <c r="O113">
        <f t="shared" si="1"/>
        <v>12</v>
      </c>
      <c r="P113">
        <v>5539</v>
      </c>
    </row>
    <row r="114" spans="1:16" x14ac:dyDescent="0.45">
      <c r="A114" s="6">
        <v>43800</v>
      </c>
      <c r="B114" t="s">
        <v>234</v>
      </c>
      <c r="C114" t="s">
        <v>235</v>
      </c>
      <c r="D114" t="s">
        <v>9</v>
      </c>
      <c r="E114">
        <v>58.384677682195743</v>
      </c>
      <c r="F114">
        <v>67.836402083667309</v>
      </c>
      <c r="G114">
        <v>26.937859919857903</v>
      </c>
      <c r="H114">
        <v>61.220195002637212</v>
      </c>
      <c r="I114">
        <v>44.079027461247556</v>
      </c>
      <c r="J114">
        <v>53.892112559446836</v>
      </c>
      <c r="K114">
        <v>53.9</v>
      </c>
      <c r="L114" s="3">
        <v>3</v>
      </c>
      <c r="M114" t="s">
        <v>258</v>
      </c>
      <c r="O114">
        <f t="shared" si="1"/>
        <v>12</v>
      </c>
      <c r="P114">
        <v>7010</v>
      </c>
    </row>
    <row r="115" spans="1:16" x14ac:dyDescent="0.45">
      <c r="A115" s="6">
        <v>43800</v>
      </c>
      <c r="B115" t="s">
        <v>236</v>
      </c>
      <c r="C115" t="s">
        <v>237</v>
      </c>
      <c r="D115" t="s">
        <v>9</v>
      </c>
      <c r="E115">
        <v>78.396331888080113</v>
      </c>
      <c r="F115">
        <v>67.836402083667309</v>
      </c>
      <c r="G115">
        <v>26.937859919857903</v>
      </c>
      <c r="H115">
        <v>75.22835294675626</v>
      </c>
      <c r="I115">
        <v>51.08310643330708</v>
      </c>
      <c r="J115">
        <v>77.041097461203265</v>
      </c>
      <c r="K115">
        <v>77</v>
      </c>
      <c r="L115" s="3">
        <v>4</v>
      </c>
      <c r="M115" t="s">
        <v>261</v>
      </c>
      <c r="O115">
        <f t="shared" si="1"/>
        <v>12</v>
      </c>
      <c r="P115">
        <v>7069</v>
      </c>
    </row>
    <row r="116" spans="1:16" x14ac:dyDescent="0.45">
      <c r="A116" s="6">
        <v>43800</v>
      </c>
      <c r="B116" t="s">
        <v>238</v>
      </c>
      <c r="C116" t="s">
        <v>239</v>
      </c>
      <c r="D116" t="s">
        <v>9</v>
      </c>
      <c r="E116">
        <v>58.473565693178344</v>
      </c>
      <c r="F116">
        <v>67.836402083667309</v>
      </c>
      <c r="G116">
        <v>26.937859919857903</v>
      </c>
      <c r="H116">
        <v>61.282416610325029</v>
      </c>
      <c r="I116">
        <v>44.110138265091464</v>
      </c>
      <c r="J116">
        <v>53.99493600437615</v>
      </c>
      <c r="K116">
        <v>54</v>
      </c>
      <c r="L116" s="3">
        <v>3</v>
      </c>
      <c r="M116" t="s">
        <v>265</v>
      </c>
      <c r="O116">
        <f t="shared" si="1"/>
        <v>12</v>
      </c>
      <c r="P116">
        <v>7460</v>
      </c>
    </row>
    <row r="117" spans="1:16" x14ac:dyDescent="0.45">
      <c r="A117" s="6">
        <v>43800</v>
      </c>
      <c r="B117" t="s">
        <v>240</v>
      </c>
      <c r="C117" t="s">
        <v>241</v>
      </c>
      <c r="D117" t="s">
        <v>9</v>
      </c>
      <c r="E117">
        <v>72.423032858934732</v>
      </c>
      <c r="F117">
        <v>67.836402083667309</v>
      </c>
      <c r="G117">
        <v>26.937859919857903</v>
      </c>
      <c r="H117">
        <v>71.047043626354494</v>
      </c>
      <c r="I117">
        <v>48.992451773106197</v>
      </c>
      <c r="J117">
        <v>70.131333399884284</v>
      </c>
      <c r="K117">
        <v>70.099999999999994</v>
      </c>
      <c r="L117" s="3">
        <v>4</v>
      </c>
      <c r="M117" t="s">
        <v>265</v>
      </c>
      <c r="O117">
        <f t="shared" si="1"/>
        <v>12</v>
      </c>
      <c r="P117">
        <v>14798</v>
      </c>
    </row>
    <row r="118" spans="1:16" x14ac:dyDescent="0.45">
      <c r="A118" s="6">
        <v>43800</v>
      </c>
      <c r="B118" t="s">
        <v>242</v>
      </c>
      <c r="C118" t="s">
        <v>243</v>
      </c>
      <c r="D118" t="s">
        <v>21</v>
      </c>
      <c r="E118">
        <v>48.011752970341036</v>
      </c>
      <c r="F118">
        <v>67.836402083667309</v>
      </c>
      <c r="G118">
        <v>26.937859919857903</v>
      </c>
      <c r="H118">
        <v>53.959147704338918</v>
      </c>
      <c r="I118">
        <v>40.448503812098409</v>
      </c>
      <c r="J118">
        <v>41.892970705837669</v>
      </c>
      <c r="K118">
        <v>41.9</v>
      </c>
      <c r="L118" s="3">
        <v>3</v>
      </c>
      <c r="M118" t="s">
        <v>265</v>
      </c>
      <c r="O118">
        <f t="shared" si="1"/>
        <v>12</v>
      </c>
      <c r="P118">
        <v>50685</v>
      </c>
    </row>
    <row r="119" spans="1:16" x14ac:dyDescent="0.45">
      <c r="A119" s="6">
        <v>43800</v>
      </c>
      <c r="B119" t="s">
        <v>244</v>
      </c>
      <c r="C119" t="s">
        <v>245</v>
      </c>
      <c r="D119" t="s">
        <v>21</v>
      </c>
      <c r="E119">
        <v>31.73072858539669</v>
      </c>
      <c r="F119">
        <v>67.836402083667309</v>
      </c>
      <c r="G119">
        <v>26.937859919857903</v>
      </c>
      <c r="H119">
        <v>42.56243063487787</v>
      </c>
      <c r="I119">
        <v>34.750145277367885</v>
      </c>
      <c r="J119">
        <v>23.059485787765162</v>
      </c>
      <c r="K119">
        <v>23.1</v>
      </c>
      <c r="L119" s="3">
        <v>2</v>
      </c>
      <c r="M119" t="s">
        <v>258</v>
      </c>
      <c r="O119">
        <f t="shared" si="1"/>
        <v>12</v>
      </c>
      <c r="P119">
        <v>18887</v>
      </c>
    </row>
    <row r="120" spans="1:16" x14ac:dyDescent="0.45">
      <c r="A120" s="6">
        <v>43800</v>
      </c>
      <c r="B120" t="s">
        <v>246</v>
      </c>
      <c r="C120" t="s">
        <v>247</v>
      </c>
      <c r="D120" t="s">
        <v>24</v>
      </c>
      <c r="E120">
        <v>65.827251088878128</v>
      </c>
      <c r="F120">
        <v>67.836402083667309</v>
      </c>
      <c r="G120">
        <v>26.937859919857903</v>
      </c>
      <c r="H120">
        <v>66.429996387314873</v>
      </c>
      <c r="I120">
        <v>46.683928153586386</v>
      </c>
      <c r="J120">
        <v>62.501496753725164</v>
      </c>
      <c r="K120">
        <v>62.5</v>
      </c>
      <c r="L120" s="3">
        <v>4</v>
      </c>
      <c r="M120" t="s">
        <v>263</v>
      </c>
      <c r="O120">
        <f t="shared" si="1"/>
        <v>12</v>
      </c>
      <c r="P120">
        <v>4188</v>
      </c>
    </row>
    <row r="121" spans="1:16" x14ac:dyDescent="0.45">
      <c r="A121" s="6">
        <v>43800</v>
      </c>
      <c r="B121" t="s">
        <v>248</v>
      </c>
      <c r="C121" t="s">
        <v>249</v>
      </c>
      <c r="D121" t="s">
        <v>24</v>
      </c>
      <c r="E121">
        <v>53.970405230565611</v>
      </c>
      <c r="F121">
        <v>67.836402083667309</v>
      </c>
      <c r="G121">
        <v>26.937859919857903</v>
      </c>
      <c r="H121">
        <v>58.130204286496109</v>
      </c>
      <c r="I121">
        <v>42.534032103177005</v>
      </c>
      <c r="J121">
        <v>48.785791748397727</v>
      </c>
      <c r="K121">
        <v>48.8</v>
      </c>
      <c r="L121" s="3">
        <v>3</v>
      </c>
      <c r="M121" t="s">
        <v>267</v>
      </c>
      <c r="O121">
        <f t="shared" si="1"/>
        <v>12</v>
      </c>
      <c r="P121">
        <v>7444</v>
      </c>
    </row>
    <row r="122" spans="1:16" x14ac:dyDescent="0.45">
      <c r="A122" s="6">
        <v>43800</v>
      </c>
      <c r="B122" t="s">
        <v>234</v>
      </c>
      <c r="C122" t="s">
        <v>250</v>
      </c>
      <c r="D122" t="s">
        <v>24</v>
      </c>
      <c r="E122">
        <v>53.377818490681562</v>
      </c>
      <c r="F122">
        <v>67.836402083667309</v>
      </c>
      <c r="G122">
        <v>26.937859919857903</v>
      </c>
      <c r="H122">
        <v>57.715393568577284</v>
      </c>
      <c r="I122">
        <v>42.326626744217592</v>
      </c>
      <c r="J122">
        <v>48.100302115535541</v>
      </c>
      <c r="K122">
        <v>48.1</v>
      </c>
      <c r="L122" s="3">
        <v>3</v>
      </c>
      <c r="M122" t="s">
        <v>265</v>
      </c>
      <c r="O122">
        <f t="shared" si="1"/>
        <v>12</v>
      </c>
      <c r="P122">
        <v>4444</v>
      </c>
    </row>
    <row r="123" spans="1:16" x14ac:dyDescent="0.45">
      <c r="A123" s="6">
        <v>43800</v>
      </c>
      <c r="B123" t="s">
        <v>251</v>
      </c>
      <c r="C123" t="s">
        <v>252</v>
      </c>
      <c r="D123" t="s">
        <v>24</v>
      </c>
      <c r="E123">
        <v>67.501703686877164</v>
      </c>
      <c r="F123">
        <v>67.836402083667309</v>
      </c>
      <c r="G123">
        <v>26.937859919857903</v>
      </c>
      <c r="H123">
        <v>67.602113205914208</v>
      </c>
      <c r="I123">
        <v>47.269986562886054</v>
      </c>
      <c r="J123">
        <v>64.438461959649473</v>
      </c>
      <c r="K123">
        <v>64.400000000000006</v>
      </c>
      <c r="L123" s="3">
        <v>4</v>
      </c>
      <c r="M123" t="s">
        <v>263</v>
      </c>
      <c r="O123">
        <f t="shared" si="1"/>
        <v>12</v>
      </c>
      <c r="P123">
        <v>12665</v>
      </c>
    </row>
    <row r="124" spans="1:16" x14ac:dyDescent="0.45">
      <c r="A124" s="6">
        <v>43800</v>
      </c>
      <c r="B124" t="s">
        <v>253</v>
      </c>
      <c r="C124" t="s">
        <v>254</v>
      </c>
      <c r="D124" t="s">
        <v>24</v>
      </c>
      <c r="E124">
        <v>74.207242397605938</v>
      </c>
      <c r="F124">
        <v>67.836402083667309</v>
      </c>
      <c r="G124">
        <v>26.937859919857903</v>
      </c>
      <c r="H124">
        <v>72.295990303424347</v>
      </c>
      <c r="I124">
        <v>49.616925111641123</v>
      </c>
      <c r="J124">
        <v>72.195262710641856</v>
      </c>
      <c r="K124">
        <v>72.2</v>
      </c>
      <c r="L124" s="3">
        <v>4</v>
      </c>
      <c r="M124" t="s">
        <v>258</v>
      </c>
      <c r="O124">
        <f t="shared" si="1"/>
        <v>12</v>
      </c>
      <c r="P124">
        <v>8643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현서 표</dc:creator>
  <cp:lastModifiedBy>현서 표</cp:lastModifiedBy>
  <dcterms:created xsi:type="dcterms:W3CDTF">2025-11-25T03:41:16Z</dcterms:created>
  <dcterms:modified xsi:type="dcterms:W3CDTF">2025-11-25T04:15:27Z</dcterms:modified>
</cp:coreProperties>
</file>